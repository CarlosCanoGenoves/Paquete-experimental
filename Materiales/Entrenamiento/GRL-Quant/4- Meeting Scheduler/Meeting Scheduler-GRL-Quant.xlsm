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ov\Desktop\WEB 2\GRL-Quant Training\4- Meeting Scheduler\"/>
    </mc:Choice>
  </mc:AlternateContent>
  <xr:revisionPtr revIDLastSave="0" documentId="13_ncr:1_{77FFFA1D-ABE5-430F-88B8-F5F968A5CC7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cciones a realizar" sheetId="1" r:id="rId1"/>
    <sheet name="Respuestas" sheetId="3" r:id="rId2"/>
    <sheet name="Propagacion" sheetId="4" r:id="rId3"/>
    <sheet name="Evaluacion" sheetId="5" r:id="rId4"/>
  </sheets>
  <externalReferences>
    <externalReference r:id="rId5"/>
  </externalReferences>
  <definedNames>
    <definedName name="asd">[1]Respuestas!$G$1:$G$5</definedName>
    <definedName name="certeza">Respuestas!$F$1:$F$5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" i="4" l="1"/>
  <c r="R5" i="4"/>
  <c r="R6" i="4"/>
  <c r="R7" i="4"/>
  <c r="R8" i="4"/>
  <c r="R9" i="4"/>
  <c r="R10" i="4"/>
  <c r="R11" i="4"/>
  <c r="R12" i="4"/>
  <c r="R13" i="4"/>
  <c r="R14" i="4"/>
  <c r="R15" i="4"/>
  <c r="R3" i="4"/>
  <c r="B17" i="5"/>
  <c r="B16" i="5"/>
  <c r="B15" i="5"/>
  <c r="B14" i="5"/>
  <c r="B13" i="5"/>
  <c r="B12" i="5"/>
  <c r="B11" i="5"/>
  <c r="B10" i="5"/>
  <c r="B6" i="5"/>
  <c r="B5" i="5"/>
  <c r="B4" i="5"/>
  <c r="C3" i="5"/>
  <c r="B3" i="5"/>
  <c r="C2" i="5"/>
  <c r="B2" i="5"/>
  <c r="D16" i="4"/>
  <c r="C23" i="4"/>
  <c r="C24" i="4"/>
  <c r="C4" i="5" s="1"/>
  <c r="C25" i="4"/>
  <c r="C5" i="5" s="1"/>
  <c r="C26" i="4"/>
  <c r="C6" i="5" s="1"/>
  <c r="C27" i="4"/>
  <c r="C10" i="5" s="1"/>
  <c r="C28" i="4"/>
  <c r="C11" i="5" s="1"/>
  <c r="C29" i="4"/>
  <c r="C12" i="5" s="1"/>
  <c r="C30" i="4"/>
  <c r="C13" i="5" s="1"/>
  <c r="C31" i="4"/>
  <c r="C14" i="5" s="1"/>
  <c r="C32" i="4"/>
  <c r="C15" i="5" s="1"/>
  <c r="C33" i="4"/>
  <c r="C16" i="5" s="1"/>
  <c r="C34" i="4"/>
  <c r="C17" i="5" s="1"/>
  <c r="C22" i="4"/>
  <c r="E11" i="3" l="1"/>
  <c r="E12" i="3"/>
  <c r="E13" i="3"/>
  <c r="E14" i="3"/>
  <c r="E15" i="3"/>
  <c r="E16" i="3"/>
  <c r="E17" i="3"/>
  <c r="E18" i="3"/>
  <c r="E19" i="3"/>
  <c r="E20" i="3"/>
  <c r="E21" i="3"/>
  <c r="E22" i="3"/>
  <c r="E10" i="3"/>
  <c r="S4" i="4"/>
  <c r="S5" i="4"/>
  <c r="S6" i="4"/>
  <c r="S7" i="4"/>
  <c r="S8" i="4"/>
  <c r="S9" i="4"/>
  <c r="S10" i="4"/>
  <c r="S11" i="4"/>
  <c r="S12" i="4"/>
  <c r="S13" i="4"/>
  <c r="S14" i="4"/>
  <c r="S15" i="4"/>
  <c r="S3" i="4"/>
  <c r="E16" i="4" l="1"/>
  <c r="F16" i="4"/>
  <c r="G16" i="4"/>
  <c r="H16" i="4"/>
  <c r="I16" i="4"/>
  <c r="J16" i="4"/>
  <c r="K16" i="4"/>
  <c r="L16" i="4"/>
  <c r="M16" i="4"/>
  <c r="N16" i="4"/>
  <c r="O16" i="4"/>
  <c r="C16" i="4"/>
  <c r="B18" i="4" l="1"/>
  <c r="Q5" i="4" s="1"/>
  <c r="B17" i="4"/>
  <c r="L29" i="4" s="1"/>
  <c r="N9" i="4"/>
  <c r="L9" i="4"/>
  <c r="M15" i="4"/>
  <c r="M11" i="4"/>
  <c r="N10" i="4"/>
  <c r="L10" i="4"/>
  <c r="S29" i="4" l="1"/>
  <c r="N29" i="4"/>
  <c r="M27" i="4"/>
  <c r="L27" i="4"/>
  <c r="O32" i="4"/>
  <c r="R30" i="4"/>
  <c r="R34" i="4"/>
  <c r="H30" i="4"/>
  <c r="P27" i="4"/>
  <c r="J24" i="4"/>
  <c r="K29" i="4"/>
  <c r="T30" i="4"/>
  <c r="J34" i="4"/>
  <c r="N33" i="4"/>
  <c r="M26" i="4"/>
  <c r="H32" i="4"/>
  <c r="K30" i="4"/>
  <c r="S23" i="4"/>
  <c r="L28" i="4"/>
  <c r="P31" i="4"/>
  <c r="T34" i="4"/>
  <c r="J31" i="4"/>
  <c r="R24" i="4"/>
  <c r="M22" i="4"/>
  <c r="H33" i="4"/>
  <c r="O24" i="4"/>
  <c r="S27" i="4"/>
  <c r="L25" i="4"/>
  <c r="T22" i="4"/>
  <c r="Q34" i="4"/>
  <c r="Q29" i="4"/>
  <c r="Q28" i="4"/>
  <c r="J28" i="4"/>
  <c r="N25" i="4"/>
  <c r="R31" i="4"/>
  <c r="H23" i="4"/>
  <c r="K32" i="4"/>
  <c r="O28" i="4"/>
  <c r="S33" i="4"/>
  <c r="E33" i="4" s="1"/>
  <c r="E16" i="5" s="1"/>
  <c r="P23" i="4"/>
  <c r="T26" i="4"/>
  <c r="Q23" i="4"/>
  <c r="S28" i="4"/>
  <c r="J25" i="4"/>
  <c r="J22" i="4"/>
  <c r="J32" i="4"/>
  <c r="N22" i="4"/>
  <c r="N26" i="4"/>
  <c r="N30" i="4"/>
  <c r="N34" i="4"/>
  <c r="R25" i="4"/>
  <c r="R32" i="4"/>
  <c r="E32" i="4" s="1"/>
  <c r="E15" i="5" s="1"/>
  <c r="M28" i="4"/>
  <c r="M29" i="4"/>
  <c r="M25" i="4"/>
  <c r="H27" i="4"/>
  <c r="H34" i="4"/>
  <c r="H26" i="4"/>
  <c r="K23" i="4"/>
  <c r="K27" i="4"/>
  <c r="K33" i="4"/>
  <c r="K34" i="4"/>
  <c r="O25" i="4"/>
  <c r="O29" i="4"/>
  <c r="O33" i="4"/>
  <c r="S24" i="4"/>
  <c r="S30" i="4"/>
  <c r="S34" i="4"/>
  <c r="L31" i="4"/>
  <c r="L32" i="4"/>
  <c r="P24" i="4"/>
  <c r="P28" i="4"/>
  <c r="P32" i="4"/>
  <c r="T23" i="4"/>
  <c r="T27" i="4"/>
  <c r="T31" i="4"/>
  <c r="Q22" i="4"/>
  <c r="Q24" i="4"/>
  <c r="Q26" i="4"/>
  <c r="P10" i="4"/>
  <c r="I29" i="4"/>
  <c r="I33" i="4"/>
  <c r="I25" i="4"/>
  <c r="I32" i="4"/>
  <c r="I24" i="4"/>
  <c r="I22" i="4"/>
  <c r="I23" i="4"/>
  <c r="I28" i="4"/>
  <c r="I26" i="4"/>
  <c r="I27" i="4"/>
  <c r="I30" i="4"/>
  <c r="I31" i="4"/>
  <c r="I34" i="4"/>
  <c r="J29" i="4"/>
  <c r="J26" i="4"/>
  <c r="J23" i="4"/>
  <c r="N23" i="4"/>
  <c r="N27" i="4"/>
  <c r="N31" i="4"/>
  <c r="R22" i="4"/>
  <c r="R26" i="4"/>
  <c r="R33" i="4"/>
  <c r="M33" i="4"/>
  <c r="M32" i="4"/>
  <c r="M30" i="4"/>
  <c r="H31" i="4"/>
  <c r="H24" i="4"/>
  <c r="H25" i="4"/>
  <c r="K24" i="4"/>
  <c r="K31" i="4"/>
  <c r="K22" i="4"/>
  <c r="O22" i="4"/>
  <c r="O26" i="4"/>
  <c r="O30" i="4"/>
  <c r="O34" i="4"/>
  <c r="S25" i="4"/>
  <c r="S31" i="4"/>
  <c r="L34" i="4"/>
  <c r="L26" i="4"/>
  <c r="E26" i="4" s="1"/>
  <c r="E6" i="5" s="1"/>
  <c r="L22" i="4"/>
  <c r="L33" i="4"/>
  <c r="P25" i="4"/>
  <c r="P29" i="4"/>
  <c r="P33" i="4"/>
  <c r="T24" i="4"/>
  <c r="T28" i="4"/>
  <c r="T32" i="4"/>
  <c r="Q25" i="4"/>
  <c r="Q27" i="4"/>
  <c r="Q32" i="4"/>
  <c r="J33" i="4"/>
  <c r="J30" i="4"/>
  <c r="J27" i="4"/>
  <c r="N24" i="4"/>
  <c r="N28" i="4"/>
  <c r="N32" i="4"/>
  <c r="R23" i="4"/>
  <c r="R27" i="4"/>
  <c r="M24" i="4"/>
  <c r="M23" i="4"/>
  <c r="M34" i="4"/>
  <c r="M31" i="4"/>
  <c r="H22" i="4"/>
  <c r="H28" i="4"/>
  <c r="H29" i="4"/>
  <c r="K28" i="4"/>
  <c r="K25" i="4"/>
  <c r="E25" i="4" s="1"/>
  <c r="E5" i="5" s="1"/>
  <c r="K26" i="4"/>
  <c r="O23" i="4"/>
  <c r="O27" i="4"/>
  <c r="O31" i="4"/>
  <c r="S22" i="4"/>
  <c r="S26" i="4"/>
  <c r="S32" i="4"/>
  <c r="L23" i="4"/>
  <c r="L24" i="4"/>
  <c r="L30" i="4"/>
  <c r="P22" i="4"/>
  <c r="P26" i="4"/>
  <c r="P30" i="4"/>
  <c r="P34" i="4"/>
  <c r="T25" i="4"/>
  <c r="T29" i="4"/>
  <c r="T33" i="4"/>
  <c r="Q31" i="4"/>
  <c r="Q30" i="4"/>
  <c r="Q33" i="4"/>
  <c r="P15" i="4"/>
  <c r="P6" i="4"/>
  <c r="P4" i="4"/>
  <c r="P9" i="4"/>
  <c r="P12" i="4"/>
  <c r="P11" i="4"/>
  <c r="P13" i="4"/>
  <c r="Q14" i="4"/>
  <c r="Q15" i="4"/>
  <c r="Q7" i="4"/>
  <c r="Q12" i="4"/>
  <c r="Q11" i="4"/>
  <c r="P7" i="4"/>
  <c r="Q4" i="4"/>
  <c r="Q3" i="4" s="1"/>
  <c r="P5" i="4"/>
  <c r="P14" i="4"/>
  <c r="Q13" i="4"/>
  <c r="Q6" i="4"/>
  <c r="M9" i="4"/>
  <c r="M10" i="4"/>
  <c r="E31" i="4" l="1"/>
  <c r="E14" i="5" s="1"/>
  <c r="E30" i="4"/>
  <c r="E13" i="5" s="1"/>
  <c r="E23" i="4"/>
  <c r="E3" i="5" s="1"/>
  <c r="E24" i="4"/>
  <c r="E4" i="5" s="1"/>
  <c r="P8" i="4"/>
  <c r="E34" i="4"/>
  <c r="E17" i="5" s="1"/>
  <c r="D32" i="4"/>
  <c r="D15" i="5" s="1"/>
  <c r="D26" i="4"/>
  <c r="D6" i="5" s="1"/>
  <c r="D33" i="4"/>
  <c r="D16" i="5" s="1"/>
  <c r="D24" i="4"/>
  <c r="D4" i="5" s="1"/>
  <c r="D31" i="4"/>
  <c r="D14" i="5" s="1"/>
  <c r="Q10" i="4"/>
  <c r="R29" i="4"/>
  <c r="D29" i="4" s="1"/>
  <c r="D12" i="5" s="1"/>
  <c r="D25" i="4"/>
  <c r="D5" i="5" s="1"/>
  <c r="Q9" i="4"/>
  <c r="R28" i="4"/>
  <c r="E28" i="4" s="1"/>
  <c r="E11" i="5" s="1"/>
  <c r="D34" i="4"/>
  <c r="D17" i="5" s="1"/>
  <c r="D23" i="4"/>
  <c r="D3" i="5" s="1"/>
  <c r="D30" i="4"/>
  <c r="D13" i="5" s="1"/>
  <c r="P3" i="4"/>
  <c r="E29" i="4" l="1"/>
  <c r="E12" i="5" s="1"/>
  <c r="D28" i="4"/>
  <c r="E22" i="4"/>
  <c r="E2" i="5" s="1"/>
  <c r="D22" i="4"/>
  <c r="D2" i="5" s="1"/>
  <c r="Q8" i="4"/>
  <c r="E27" i="4" l="1"/>
  <c r="E10" i="5" s="1"/>
  <c r="D11" i="5"/>
  <c r="D27" i="4"/>
  <c r="D10" i="5" s="1"/>
</calcChain>
</file>

<file path=xl/sharedStrings.xml><?xml version="1.0" encoding="utf-8"?>
<sst xmlns="http://schemas.openxmlformats.org/spreadsheetml/2006/main" count="197" uniqueCount="55">
  <si>
    <t>Actor</t>
  </si>
  <si>
    <t>Importancia</t>
  </si>
  <si>
    <t>IE</t>
  </si>
  <si>
    <t>Certeza</t>
  </si>
  <si>
    <t>Certeza:</t>
  </si>
  <si>
    <t>Calidad</t>
  </si>
  <si>
    <t>Completamente seguro</t>
  </si>
  <si>
    <t>Bastante seguro</t>
  </si>
  <si>
    <t>No seguro en absoluto</t>
  </si>
  <si>
    <t>Importancia:</t>
  </si>
  <si>
    <t>Persona Iniciadora</t>
  </si>
  <si>
    <t>Participante</t>
  </si>
  <si>
    <t>Organizar</t>
  </si>
  <si>
    <t>Manual</t>
  </si>
  <si>
    <t>Meeting Schedule</t>
  </si>
  <si>
    <t>Rápido</t>
  </si>
  <si>
    <t>Poco Esfuerzo</t>
  </si>
  <si>
    <t>Asistir</t>
  </si>
  <si>
    <t>Expresividad del canal</t>
  </si>
  <si>
    <t>Satisfacción</t>
  </si>
  <si>
    <t>Bajo esfuerzo</t>
  </si>
  <si>
    <t>Fácil de usar</t>
  </si>
  <si>
    <t>Meeting</t>
  </si>
  <si>
    <t>Esfuerzo</t>
  </si>
  <si>
    <t>Canal</t>
  </si>
  <si>
    <t>Fácil</t>
  </si>
  <si>
    <t>PERSONA INICIADORA</t>
  </si>
  <si>
    <t>PARTICIPANTE</t>
  </si>
  <si>
    <t>Poco seguro</t>
  </si>
  <si>
    <t>Casi nada seguro</t>
  </si>
  <si>
    <t>Totalmente de acuerdo</t>
  </si>
  <si>
    <t>De acuerdo</t>
  </si>
  <si>
    <t>Ni de acuerdo ni en desacuerdo</t>
  </si>
  <si>
    <t>En desacuerdo</t>
  </si>
  <si>
    <t>Totalmente en desacuerdo</t>
  </si>
  <si>
    <t>Evaluación</t>
  </si>
  <si>
    <t>S Iniciador</t>
  </si>
  <si>
    <t>S Participante</t>
  </si>
  <si>
    <t>S Total</t>
  </si>
  <si>
    <t>TOTAL PI</t>
  </si>
  <si>
    <t>*</t>
  </si>
  <si>
    <t>Evaluar:</t>
  </si>
  <si>
    <t>TOTAL P</t>
  </si>
  <si>
    <t>Elemento Intencional</t>
  </si>
  <si>
    <t>Nivel de importancia</t>
  </si>
  <si>
    <t>Grado de importancia</t>
  </si>
  <si>
    <t>Directa</t>
  </si>
  <si>
    <t>Organizar reunión</t>
  </si>
  <si>
    <t>Manualmente</t>
  </si>
  <si>
    <t>Usar meeting scheduler</t>
  </si>
  <si>
    <t>Asistir reunión</t>
  </si>
  <si>
    <t>Encontrar fecha hablando con el iniciador</t>
  </si>
  <si>
    <t>Encontrar fecha usando meeting scheduler</t>
  </si>
  <si>
    <t>Elementos que contribuyen a la satisfacción</t>
  </si>
  <si>
    <t>Satisfacción
[-100, 100]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</si>
</sst>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2" fontId="0" fillId="0" borderId="0" xfId="0" applyNumberForma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2" xfId="0" applyFill="1" applyBorder="1" applyAlignment="1"/>
    <xf numFmtId="0" fontId="0" fillId="4" borderId="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left" vertical="center" wrapText="1"/>
    </xf>
    <xf numFmtId="0" fontId="1" fillId="0" borderId="0" xfId="0" quotePrefix="1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5" borderId="0" xfId="1" applyAlignment="1">
      <alignment horizontal="center" vertical="center"/>
    </xf>
    <xf numFmtId="0" fontId="3" fillId="6" borderId="0" xfId="2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Bueno" xfId="2" builtinId="26"/>
    <cellStyle name="Neutral" xfId="1" builtinId="2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1:</a:t>
          </a:r>
          <a:br>
            <a:rPr lang="es-ES" sz="1100"/>
          </a:br>
          <a:r>
            <a:rPr lang="es-ES" sz="1100"/>
            <a:t>Priorización</a:t>
          </a:r>
        </a:p>
      </xdr:txBody>
    </xdr:sp>
    <xdr:clientData/>
  </xdr:twoCellAnchor>
  <xdr:twoCellAnchor>
    <xdr:from>
      <xdr:col>0</xdr:col>
      <xdr:colOff>561975</xdr:colOff>
      <xdr:row>6</xdr:row>
      <xdr:rowOff>133350</xdr:rowOff>
    </xdr:from>
    <xdr:to>
      <xdr:col>5</xdr:col>
      <xdr:colOff>38100</xdr:colOff>
      <xdr:row>11</xdr:row>
      <xdr:rowOff>47624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561975" y="127635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552450</xdr:colOff>
      <xdr:row>12</xdr:row>
      <xdr:rowOff>57150</xdr:rowOff>
    </xdr:from>
    <xdr:to>
      <xdr:col>5</xdr:col>
      <xdr:colOff>28575</xdr:colOff>
      <xdr:row>16</xdr:row>
      <xdr:rowOff>161924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717A669-0DE8-4D80-96A1-163BD4ADF97E}"/>
            </a:ext>
          </a:extLst>
        </xdr:cNvPr>
        <xdr:cNvSpPr/>
      </xdr:nvSpPr>
      <xdr:spPr>
        <a:xfrm>
          <a:off x="552450" y="234315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ov/Desktop/Experimento%20CSO/O0%20-%20Entrenamiento%20-%20Meeting%20Scheduler/VEGAN/Meeting%20Scheduler-VEG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iones a realizar"/>
      <sheetName val="Respuestas"/>
      <sheetName val="Propagacion"/>
      <sheetName val="Polarizacion"/>
      <sheetName val="Evaluacion"/>
    </sheetNames>
    <sheetDataSet>
      <sheetData sheetId="0"/>
      <sheetData sheetId="1">
        <row r="1">
          <cell r="G1" t="str">
            <v>Totalmente de acuerdo</v>
          </cell>
        </row>
        <row r="2">
          <cell r="G2" t="str">
            <v>De acuerdo</v>
          </cell>
        </row>
        <row r="3">
          <cell r="G3" t="str">
            <v>Ni de acuerdo ni en desacuerdo</v>
          </cell>
        </row>
        <row r="4">
          <cell r="G4" t="str">
            <v>En desacuerdo</v>
          </cell>
        </row>
        <row r="5">
          <cell r="G5" t="str">
            <v>Totalmente en desacuerdo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tabSelected="1" workbookViewId="0"/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K22"/>
  <sheetViews>
    <sheetView zoomScaleNormal="100" workbookViewId="0">
      <selection activeCell="C10" sqref="C10:C22"/>
    </sheetView>
  </sheetViews>
  <sheetFormatPr baseColWidth="10" defaultRowHeight="15" x14ac:dyDescent="0.25"/>
  <cols>
    <col min="1" max="2" width="23.42578125" bestFit="1" customWidth="1"/>
    <col min="6" max="6" width="22.140625" bestFit="1" customWidth="1"/>
  </cols>
  <sheetData>
    <row r="1" spans="1:11" x14ac:dyDescent="0.25">
      <c r="E1">
        <v>100</v>
      </c>
      <c r="F1" t="s">
        <v>6</v>
      </c>
      <c r="G1" t="s">
        <v>30</v>
      </c>
    </row>
    <row r="2" spans="1:11" x14ac:dyDescent="0.25">
      <c r="E2">
        <v>75</v>
      </c>
      <c r="F2" t="s">
        <v>7</v>
      </c>
      <c r="G2" t="s">
        <v>31</v>
      </c>
    </row>
    <row r="3" spans="1:11" x14ac:dyDescent="0.25">
      <c r="E3">
        <v>50</v>
      </c>
      <c r="F3" t="s">
        <v>28</v>
      </c>
      <c r="G3" t="s">
        <v>32</v>
      </c>
    </row>
    <row r="4" spans="1:11" x14ac:dyDescent="0.25">
      <c r="E4">
        <v>25</v>
      </c>
      <c r="F4" t="s">
        <v>29</v>
      </c>
      <c r="G4" t="s">
        <v>33</v>
      </c>
    </row>
    <row r="5" spans="1:11" x14ac:dyDescent="0.25">
      <c r="E5">
        <v>0</v>
      </c>
      <c r="F5" t="s">
        <v>8</v>
      </c>
      <c r="G5" t="s">
        <v>34</v>
      </c>
    </row>
    <row r="8" spans="1:11" x14ac:dyDescent="0.25">
      <c r="C8" t="s">
        <v>9</v>
      </c>
    </row>
    <row r="9" spans="1:11" x14ac:dyDescent="0.25">
      <c r="A9" t="s">
        <v>0</v>
      </c>
      <c r="B9" t="s">
        <v>2</v>
      </c>
      <c r="C9" t="s">
        <v>1</v>
      </c>
      <c r="E9" t="s">
        <v>35</v>
      </c>
      <c r="F9" t="s">
        <v>0</v>
      </c>
      <c r="G9" t="s">
        <v>1</v>
      </c>
      <c r="H9" t="s">
        <v>3</v>
      </c>
    </row>
    <row r="10" spans="1:11" x14ac:dyDescent="0.25">
      <c r="A10" t="s">
        <v>10</v>
      </c>
      <c r="B10" t="s">
        <v>12</v>
      </c>
      <c r="C10" t="s">
        <v>9</v>
      </c>
      <c r="E10" t="str">
        <f>Propagacion!T3</f>
        <v>Evaluar:</v>
      </c>
      <c r="F10" t="s">
        <v>10</v>
      </c>
      <c r="G10" t="s">
        <v>9</v>
      </c>
      <c r="H10" t="s">
        <v>4</v>
      </c>
      <c r="J10" t="s">
        <v>9</v>
      </c>
      <c r="K10" t="s">
        <v>4</v>
      </c>
    </row>
    <row r="11" spans="1:11" x14ac:dyDescent="0.25">
      <c r="A11" t="s">
        <v>10</v>
      </c>
      <c r="B11" t="s">
        <v>13</v>
      </c>
      <c r="C11" t="s">
        <v>9</v>
      </c>
      <c r="E11" t="str">
        <f>Propagacion!T4</f>
        <v>Evaluar:</v>
      </c>
      <c r="F11" t="s">
        <v>11</v>
      </c>
      <c r="G11" t="s">
        <v>9</v>
      </c>
      <c r="H11" t="s">
        <v>4</v>
      </c>
    </row>
    <row r="12" spans="1:11" x14ac:dyDescent="0.25">
      <c r="A12" t="s">
        <v>10</v>
      </c>
      <c r="B12" t="s">
        <v>14</v>
      </c>
      <c r="C12" t="s">
        <v>9</v>
      </c>
      <c r="E12" t="str">
        <f>Propagacion!T5</f>
        <v>Evaluar:</v>
      </c>
    </row>
    <row r="13" spans="1:11" x14ac:dyDescent="0.25">
      <c r="A13" t="s">
        <v>10</v>
      </c>
      <c r="B13" t="s">
        <v>15</v>
      </c>
      <c r="C13" t="s">
        <v>9</v>
      </c>
      <c r="E13" t="str">
        <f>Propagacion!T6</f>
        <v>Evaluar:</v>
      </c>
    </row>
    <row r="14" spans="1:11" x14ac:dyDescent="0.25">
      <c r="A14" t="s">
        <v>10</v>
      </c>
      <c r="B14" t="s">
        <v>16</v>
      </c>
      <c r="C14" t="s">
        <v>9</v>
      </c>
      <c r="E14" t="str">
        <f>Propagacion!T7</f>
        <v>Evaluar:</v>
      </c>
    </row>
    <row r="15" spans="1:11" x14ac:dyDescent="0.25">
      <c r="A15" t="s">
        <v>11</v>
      </c>
      <c r="B15" t="s">
        <v>17</v>
      </c>
      <c r="C15" t="s">
        <v>9</v>
      </c>
      <c r="E15" t="str">
        <f>Propagacion!T8</f>
        <v>Evaluar:</v>
      </c>
    </row>
    <row r="16" spans="1:11" x14ac:dyDescent="0.25">
      <c r="A16" t="s">
        <v>11</v>
      </c>
      <c r="B16" t="s">
        <v>13</v>
      </c>
      <c r="C16" t="s">
        <v>9</v>
      </c>
      <c r="E16" t="str">
        <f>Propagacion!T9</f>
        <v>Evaluar:</v>
      </c>
    </row>
    <row r="17" spans="1:5" x14ac:dyDescent="0.25">
      <c r="A17" t="s">
        <v>11</v>
      </c>
      <c r="B17" t="s">
        <v>14</v>
      </c>
      <c r="C17" t="s">
        <v>9</v>
      </c>
      <c r="E17" t="str">
        <f>Propagacion!T10</f>
        <v>Evaluar:</v>
      </c>
    </row>
    <row r="18" spans="1:5" x14ac:dyDescent="0.25">
      <c r="A18" t="s">
        <v>11</v>
      </c>
      <c r="B18" t="s">
        <v>18</v>
      </c>
      <c r="C18" t="s">
        <v>9</v>
      </c>
      <c r="E18" t="str">
        <f>Propagacion!T11</f>
        <v>Evaluar:</v>
      </c>
    </row>
    <row r="19" spans="1:5" x14ac:dyDescent="0.25">
      <c r="A19" t="s">
        <v>11</v>
      </c>
      <c r="B19" t="s">
        <v>5</v>
      </c>
      <c r="C19" t="s">
        <v>9</v>
      </c>
      <c r="E19" t="str">
        <f>Propagacion!T12</f>
        <v>Evaluar:</v>
      </c>
    </row>
    <row r="20" spans="1:5" x14ac:dyDescent="0.25">
      <c r="A20" t="s">
        <v>11</v>
      </c>
      <c r="B20" t="s">
        <v>19</v>
      </c>
      <c r="C20" t="s">
        <v>9</v>
      </c>
      <c r="E20" t="str">
        <f>Propagacion!T13</f>
        <v>Evaluar:</v>
      </c>
    </row>
    <row r="21" spans="1:5" x14ac:dyDescent="0.25">
      <c r="A21" t="s">
        <v>11</v>
      </c>
      <c r="B21" t="s">
        <v>20</v>
      </c>
      <c r="C21" t="s">
        <v>9</v>
      </c>
      <c r="E21" t="str">
        <f>Propagacion!T14</f>
        <v>Evaluar:</v>
      </c>
    </row>
    <row r="22" spans="1:5" x14ac:dyDescent="0.25">
      <c r="A22" t="s">
        <v>11</v>
      </c>
      <c r="B22" t="s">
        <v>21</v>
      </c>
      <c r="C22" t="s">
        <v>9</v>
      </c>
      <c r="E22" t="str">
        <f>Propagacion!T15</f>
        <v>Evaluar: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U49"/>
  <sheetViews>
    <sheetView zoomScale="85" zoomScaleNormal="85" workbookViewId="0">
      <selection activeCell="R3" sqref="R3:R15"/>
    </sheetView>
  </sheetViews>
  <sheetFormatPr baseColWidth="10" defaultRowHeight="15" x14ac:dyDescent="0.25"/>
  <cols>
    <col min="2" max="2" width="23.42578125" bestFit="1" customWidth="1"/>
    <col min="3" max="4" width="11.42578125" style="1"/>
    <col min="5" max="5" width="33.7109375" style="1" customWidth="1"/>
    <col min="6" max="6" width="23.85546875" style="1" customWidth="1"/>
    <col min="7" max="7" width="29.5703125" style="1" customWidth="1"/>
    <col min="8" max="8" width="25.28515625" style="1" customWidth="1"/>
    <col min="9" max="13" width="11.42578125" style="1"/>
  </cols>
  <sheetData>
    <row r="1" spans="1:20" x14ac:dyDescent="0.25">
      <c r="A1" s="2"/>
      <c r="B1" s="2" t="s">
        <v>0</v>
      </c>
      <c r="C1" s="26" t="s">
        <v>26</v>
      </c>
      <c r="D1" s="27"/>
      <c r="E1" s="27"/>
      <c r="F1" s="28"/>
      <c r="G1" s="29" t="s">
        <v>27</v>
      </c>
      <c r="H1" s="30"/>
      <c r="I1" s="30"/>
      <c r="J1" s="30"/>
      <c r="K1" s="30"/>
      <c r="L1" s="30"/>
      <c r="M1" s="30"/>
      <c r="N1" s="30"/>
      <c r="O1" s="30"/>
      <c r="P1" t="s">
        <v>36</v>
      </c>
      <c r="Q1" t="s">
        <v>37</v>
      </c>
      <c r="R1" t="s">
        <v>38</v>
      </c>
    </row>
    <row r="2" spans="1:20" x14ac:dyDescent="0.25">
      <c r="A2" s="2"/>
      <c r="B2" s="2"/>
      <c r="C2" s="10" t="s">
        <v>12</v>
      </c>
      <c r="D2" s="6" t="s">
        <v>13</v>
      </c>
      <c r="E2" s="6" t="s">
        <v>22</v>
      </c>
      <c r="F2" s="6" t="s">
        <v>15</v>
      </c>
      <c r="G2" s="6" t="s">
        <v>23</v>
      </c>
      <c r="H2" s="10" t="s">
        <v>17</v>
      </c>
      <c r="I2" s="6" t="s">
        <v>13</v>
      </c>
      <c r="J2" s="6" t="s">
        <v>22</v>
      </c>
      <c r="K2" s="6" t="s">
        <v>24</v>
      </c>
      <c r="L2" s="6" t="s">
        <v>5</v>
      </c>
      <c r="M2" s="6" t="s">
        <v>19</v>
      </c>
      <c r="N2" s="6" t="s">
        <v>23</v>
      </c>
      <c r="O2" s="6" t="s">
        <v>25</v>
      </c>
      <c r="P2" s="12" t="s">
        <v>40</v>
      </c>
      <c r="Q2" s="12" t="s">
        <v>40</v>
      </c>
      <c r="R2" s="12" t="s">
        <v>40</v>
      </c>
      <c r="S2" s="12" t="s">
        <v>1</v>
      </c>
      <c r="T2" s="12" t="s">
        <v>35</v>
      </c>
    </row>
    <row r="3" spans="1:20" x14ac:dyDescent="0.25">
      <c r="A3" t="s">
        <v>10</v>
      </c>
      <c r="B3" s="4" t="s">
        <v>12</v>
      </c>
      <c r="C3" s="3">
        <v>100</v>
      </c>
      <c r="E3" s="7"/>
      <c r="G3" s="7"/>
      <c r="H3" s="9"/>
      <c r="I3" s="7"/>
      <c r="J3" s="7"/>
      <c r="K3" s="7"/>
      <c r="L3" s="7"/>
      <c r="M3" s="7"/>
      <c r="N3" s="7"/>
      <c r="O3" s="7"/>
      <c r="P3" s="5" t="e">
        <f>MAX(((C3*C$16+D3*D$16+E3*E$16+F3*F$16+G3*G$16)/B$17),P4:P5)</f>
        <v>#VALUE!</v>
      </c>
      <c r="Q3" s="5" t="e">
        <f>MAX(((H3*H$16+I3*I$16+J3*J$16+K3*K$16+L3*L$16+M3*M$16+N3*N$16+O3*O$16)/B$18),Q4:Q5)</f>
        <v>#VALUE!</v>
      </c>
      <c r="R3" s="5" t="str">
        <f>_xlfn.CONCAT("-&gt; ",IFERROR(ROUND(SUM(P3:Q3), 2), "ERROR"))</f>
        <v>-&gt; ERROR</v>
      </c>
      <c r="S3" s="8" t="str">
        <f>Respuestas!C10</f>
        <v>Importancia:</v>
      </c>
      <c r="T3" t="s">
        <v>41</v>
      </c>
    </row>
    <row r="4" spans="1:20" x14ac:dyDescent="0.25">
      <c r="A4" t="s">
        <v>10</v>
      </c>
      <c r="B4" s="4" t="s">
        <v>13</v>
      </c>
      <c r="C4" s="11">
        <v>100</v>
      </c>
      <c r="D4" s="3">
        <v>100</v>
      </c>
      <c r="E4" s="7"/>
      <c r="F4" s="7">
        <v>-50</v>
      </c>
      <c r="G4" s="7">
        <v>-50</v>
      </c>
      <c r="H4" s="9"/>
      <c r="I4" s="7"/>
      <c r="J4" s="7"/>
      <c r="K4" s="7"/>
      <c r="L4" s="7"/>
      <c r="M4" s="7"/>
      <c r="N4" s="7"/>
      <c r="O4" s="7"/>
      <c r="P4" s="5" t="e">
        <f>(C4*C$16+D4*D$16+E4*E$16+F4*F$16+G4*G$16)/B$17</f>
        <v>#VALUE!</v>
      </c>
      <c r="Q4" s="5" t="e">
        <f>(H4*H$16+I4*I$16+J4*J$16+K4*K$16+L4*L$16+M4*M$16+N4*N$16+O4*O$16)/B$18</f>
        <v>#VALUE!</v>
      </c>
      <c r="R4" s="5" t="str">
        <f t="shared" ref="R4:R15" si="0">_xlfn.CONCAT("-&gt; ",IFERROR(ROUND(SUM(P4:Q4), 2), "ERROR"))</f>
        <v>-&gt; ERROR</v>
      </c>
      <c r="S4" s="8" t="str">
        <f>Respuestas!C11</f>
        <v>Importancia:</v>
      </c>
      <c r="T4" t="s">
        <v>41</v>
      </c>
    </row>
    <row r="5" spans="1:20" x14ac:dyDescent="0.25">
      <c r="A5" t="s">
        <v>10</v>
      </c>
      <c r="B5" s="4" t="s">
        <v>14</v>
      </c>
      <c r="C5" s="11">
        <v>100</v>
      </c>
      <c r="D5" s="7"/>
      <c r="E5" s="3">
        <v>100</v>
      </c>
      <c r="F5" s="7">
        <v>50</v>
      </c>
      <c r="G5" s="7">
        <v>50</v>
      </c>
      <c r="H5" s="9"/>
      <c r="I5" s="7"/>
      <c r="J5" s="7"/>
      <c r="K5" s="7"/>
      <c r="L5" s="7"/>
      <c r="M5" s="7"/>
      <c r="N5" s="7"/>
      <c r="O5" s="7"/>
      <c r="P5" s="5" t="e">
        <f>(C5*C$16+D5*D$16+E5*E$16+F5*F$16+G5*G$16)/B$17</f>
        <v>#VALUE!</v>
      </c>
      <c r="Q5" s="5" t="e">
        <f>(H5*H$16+I5*I$16+J5*J$16+K5*K$16+L5*L$16+M5*M$16+N5*N$16+O5*O$16)/B$18</f>
        <v>#VALUE!</v>
      </c>
      <c r="R5" s="5" t="str">
        <f t="shared" si="0"/>
        <v>-&gt; ERROR</v>
      </c>
      <c r="S5" s="8" t="str">
        <f>Respuestas!C12</f>
        <v>Importancia:</v>
      </c>
      <c r="T5" t="s">
        <v>41</v>
      </c>
    </row>
    <row r="6" spans="1:20" x14ac:dyDescent="0.25">
      <c r="A6" t="s">
        <v>10</v>
      </c>
      <c r="B6" s="4" t="s">
        <v>15</v>
      </c>
      <c r="C6" s="9"/>
      <c r="D6" s="7"/>
      <c r="E6" s="7"/>
      <c r="F6" s="3">
        <v>100</v>
      </c>
      <c r="G6" s="7"/>
      <c r="H6" s="9"/>
      <c r="I6" s="7"/>
      <c r="J6" s="7"/>
      <c r="K6" s="7"/>
      <c r="L6" s="7"/>
      <c r="M6" s="7"/>
      <c r="N6" s="7"/>
      <c r="O6" s="7"/>
      <c r="P6" s="5" t="e">
        <f>(C6*C$16+D6*D$16+E6*E$16+F6*F$16+G6*G$16)/B$17</f>
        <v>#VALUE!</v>
      </c>
      <c r="Q6" s="5" t="e">
        <f>(H6*H$16+I6*I$16+J6*J$16+K6*K$16+L6*L$16+M6*M$16+N6*N$16+O6*O$16)/B$18</f>
        <v>#VALUE!</v>
      </c>
      <c r="R6" s="5" t="str">
        <f t="shared" si="0"/>
        <v>-&gt; ERROR</v>
      </c>
      <c r="S6" s="8" t="str">
        <f>Respuestas!C13</f>
        <v>Importancia:</v>
      </c>
      <c r="T6" t="s">
        <v>41</v>
      </c>
    </row>
    <row r="7" spans="1:20" x14ac:dyDescent="0.25">
      <c r="A7" t="s">
        <v>10</v>
      </c>
      <c r="B7" s="4" t="s">
        <v>16</v>
      </c>
      <c r="C7" s="9"/>
      <c r="D7" s="7"/>
      <c r="E7" s="7"/>
      <c r="F7" s="7"/>
      <c r="G7" s="3">
        <v>100</v>
      </c>
      <c r="H7" s="9"/>
      <c r="I7" s="7"/>
      <c r="J7" s="7"/>
      <c r="K7" s="7"/>
      <c r="L7" s="7"/>
      <c r="M7" s="7"/>
      <c r="N7" s="7"/>
      <c r="O7" s="7"/>
      <c r="P7" s="5" t="e">
        <f>(C7*C$16+D7*D$16+E7*E$16+F7*F$16+G7*G$16)/B$17</f>
        <v>#VALUE!</v>
      </c>
      <c r="Q7" s="5" t="e">
        <f>(H7*H$16+I7*I$16+J7*J$16+K7*K$16+L7*L$16+M7*M$16+N7*N$16+O7*O$16)/B$18</f>
        <v>#VALUE!</v>
      </c>
      <c r="R7" s="5" t="str">
        <f t="shared" si="0"/>
        <v>-&gt; ERROR</v>
      </c>
      <c r="S7" s="8" t="str">
        <f>Respuestas!C14</f>
        <v>Importancia:</v>
      </c>
      <c r="T7" t="s">
        <v>41</v>
      </c>
    </row>
    <row r="8" spans="1:20" x14ac:dyDescent="0.25">
      <c r="A8" t="s">
        <v>11</v>
      </c>
      <c r="B8" s="4" t="s">
        <v>17</v>
      </c>
      <c r="C8" s="9"/>
      <c r="D8" s="7"/>
      <c r="E8" s="7"/>
      <c r="F8" s="7"/>
      <c r="G8" s="7"/>
      <c r="H8" s="3">
        <v>100</v>
      </c>
      <c r="I8" s="9"/>
      <c r="J8" s="9"/>
      <c r="K8" s="7"/>
      <c r="L8" s="7"/>
      <c r="M8" s="7"/>
      <c r="N8" s="7"/>
      <c r="O8" s="7"/>
      <c r="P8" s="5" t="e">
        <f>MAX(((C8*C$16+D8*D$16+E8*E$16+F8*F$16+G8*G$16)/B$17),P9:P10)</f>
        <v>#VALUE!</v>
      </c>
      <c r="Q8" s="5" t="e">
        <f>MAX(((H8*H$16+I8*I$16+J8*J$16+K8*K$16+L8*L$16+M8*M$16+N8*N$16+O8*O$16)/B$18),Q9:Q10)</f>
        <v>#VALUE!</v>
      </c>
      <c r="R8" s="5" t="str">
        <f t="shared" si="0"/>
        <v>-&gt; ERROR</v>
      </c>
      <c r="S8" s="8" t="str">
        <f>Respuestas!C15</f>
        <v>Importancia:</v>
      </c>
      <c r="T8" t="s">
        <v>41</v>
      </c>
    </row>
    <row r="9" spans="1:20" x14ac:dyDescent="0.25">
      <c r="A9" t="s">
        <v>11</v>
      </c>
      <c r="B9" s="4" t="s">
        <v>13</v>
      </c>
      <c r="C9" s="9"/>
      <c r="D9" s="7"/>
      <c r="E9" s="7"/>
      <c r="F9" s="7"/>
      <c r="G9" s="7"/>
      <c r="H9" s="11">
        <v>100</v>
      </c>
      <c r="I9" s="3">
        <v>100</v>
      </c>
      <c r="J9" s="7"/>
      <c r="K9" s="7">
        <v>75</v>
      </c>
      <c r="L9" s="7">
        <f>K9*L11/100</f>
        <v>18.75</v>
      </c>
      <c r="M9" s="7">
        <f>K9*M11/100+O9*M15/100</f>
        <v>12.5</v>
      </c>
      <c r="N9" s="7">
        <f>O9*N15/100</f>
        <v>12.5</v>
      </c>
      <c r="O9" s="7">
        <v>50</v>
      </c>
      <c r="P9" s="5" t="e">
        <f t="shared" ref="P9:P15" si="1">(C9*C$16+D9*D$16+E9*E$16+F9*F$16+G9*G$16)/B$17</f>
        <v>#VALUE!</v>
      </c>
      <c r="Q9" s="5" t="e">
        <f t="shared" ref="Q9:Q15" si="2">(H9*H$16+I9*I$16+J9*J$16+K9*K$16+L9*L$16+M9*M$16+N9*N$16+O9*O$16)/B$18</f>
        <v>#VALUE!</v>
      </c>
      <c r="R9" s="5" t="str">
        <f t="shared" si="0"/>
        <v>-&gt; ERROR</v>
      </c>
      <c r="S9" s="8" t="str">
        <f>Respuestas!C16</f>
        <v>Importancia:</v>
      </c>
      <c r="T9" t="s">
        <v>41</v>
      </c>
    </row>
    <row r="10" spans="1:20" x14ac:dyDescent="0.25">
      <c r="A10" t="s">
        <v>11</v>
      </c>
      <c r="B10" s="4" t="s">
        <v>14</v>
      </c>
      <c r="C10" s="9"/>
      <c r="D10" s="7"/>
      <c r="E10" s="7"/>
      <c r="F10" s="7"/>
      <c r="G10" s="7"/>
      <c r="H10" s="11">
        <v>100</v>
      </c>
      <c r="I10" s="7"/>
      <c r="J10" s="3">
        <v>100</v>
      </c>
      <c r="K10" s="7">
        <v>-50</v>
      </c>
      <c r="L10" s="7">
        <f>K10*L11/100</f>
        <v>-12.5</v>
      </c>
      <c r="M10" s="7">
        <f>K10*M11/100+O10*M15/100</f>
        <v>-7.8125</v>
      </c>
      <c r="N10" s="7">
        <f>O10*N15/100</f>
        <v>-6.25</v>
      </c>
      <c r="O10" s="7">
        <v>-25</v>
      </c>
      <c r="P10" s="5" t="e">
        <f t="shared" si="1"/>
        <v>#VALUE!</v>
      </c>
      <c r="Q10" s="5" t="e">
        <f t="shared" si="2"/>
        <v>#VALUE!</v>
      </c>
      <c r="R10" s="5" t="str">
        <f t="shared" si="0"/>
        <v>-&gt; ERROR</v>
      </c>
      <c r="S10" s="8" t="str">
        <f>Respuestas!C17</f>
        <v>Importancia:</v>
      </c>
      <c r="T10" t="s">
        <v>41</v>
      </c>
    </row>
    <row r="11" spans="1:20" x14ac:dyDescent="0.25">
      <c r="A11" t="s">
        <v>11</v>
      </c>
      <c r="B11" s="4" t="s">
        <v>18</v>
      </c>
      <c r="C11" s="9"/>
      <c r="D11" s="7"/>
      <c r="E11" s="7"/>
      <c r="F11" s="7"/>
      <c r="G11" s="7"/>
      <c r="H11" s="9"/>
      <c r="I11" s="7"/>
      <c r="J11" s="7"/>
      <c r="K11" s="3">
        <v>100</v>
      </c>
      <c r="L11" s="7">
        <v>25</v>
      </c>
      <c r="M11" s="7">
        <f>L11*M12/100</f>
        <v>12.5</v>
      </c>
      <c r="N11" s="7"/>
      <c r="O11" s="7"/>
      <c r="P11" s="5" t="e">
        <f t="shared" si="1"/>
        <v>#VALUE!</v>
      </c>
      <c r="Q11" s="5" t="e">
        <f t="shared" si="2"/>
        <v>#VALUE!</v>
      </c>
      <c r="R11" s="5" t="str">
        <f t="shared" si="0"/>
        <v>-&gt; ERROR</v>
      </c>
      <c r="S11" s="8" t="str">
        <f>Respuestas!C18</f>
        <v>Importancia:</v>
      </c>
      <c r="T11" t="s">
        <v>41</v>
      </c>
    </row>
    <row r="12" spans="1:20" x14ac:dyDescent="0.25">
      <c r="A12" t="s">
        <v>11</v>
      </c>
      <c r="B12" s="4" t="s">
        <v>5</v>
      </c>
      <c r="C12" s="9"/>
      <c r="D12" s="7"/>
      <c r="E12" s="7"/>
      <c r="F12" s="7"/>
      <c r="G12" s="7"/>
      <c r="H12" s="9"/>
      <c r="I12" s="7"/>
      <c r="J12" s="7"/>
      <c r="K12" s="7"/>
      <c r="L12" s="3">
        <v>100</v>
      </c>
      <c r="M12" s="7">
        <v>50</v>
      </c>
      <c r="N12" s="7"/>
      <c r="O12" s="7"/>
      <c r="P12" s="5" t="e">
        <f t="shared" si="1"/>
        <v>#VALUE!</v>
      </c>
      <c r="Q12" s="5" t="e">
        <f t="shared" si="2"/>
        <v>#VALUE!</v>
      </c>
      <c r="R12" s="5" t="str">
        <f t="shared" si="0"/>
        <v>-&gt; ERROR</v>
      </c>
      <c r="S12" s="8" t="str">
        <f>Respuestas!C19</f>
        <v>Importancia:</v>
      </c>
      <c r="T12" t="s">
        <v>41</v>
      </c>
    </row>
    <row r="13" spans="1:20" x14ac:dyDescent="0.25">
      <c r="A13" t="s">
        <v>11</v>
      </c>
      <c r="B13" s="4" t="s">
        <v>19</v>
      </c>
      <c r="C13" s="9"/>
      <c r="D13" s="7"/>
      <c r="E13" s="7"/>
      <c r="F13" s="7"/>
      <c r="G13" s="7"/>
      <c r="H13" s="9"/>
      <c r="I13" s="7"/>
      <c r="J13" s="7"/>
      <c r="K13" s="7"/>
      <c r="L13" s="7"/>
      <c r="M13" s="3">
        <v>100</v>
      </c>
      <c r="N13" s="7"/>
      <c r="O13" s="7"/>
      <c r="P13" s="5" t="e">
        <f t="shared" si="1"/>
        <v>#VALUE!</v>
      </c>
      <c r="Q13" s="5" t="e">
        <f t="shared" si="2"/>
        <v>#VALUE!</v>
      </c>
      <c r="R13" s="5" t="str">
        <f t="shared" si="0"/>
        <v>-&gt; ERROR</v>
      </c>
      <c r="S13" s="8" t="str">
        <f>Respuestas!C20</f>
        <v>Importancia:</v>
      </c>
      <c r="T13" t="s">
        <v>41</v>
      </c>
    </row>
    <row r="14" spans="1:20" x14ac:dyDescent="0.25">
      <c r="A14" t="s">
        <v>11</v>
      </c>
      <c r="B14" s="4" t="s">
        <v>20</v>
      </c>
      <c r="C14" s="9"/>
      <c r="D14" s="7"/>
      <c r="E14" s="7"/>
      <c r="F14" s="7"/>
      <c r="G14" s="7"/>
      <c r="H14" s="9"/>
      <c r="I14" s="7"/>
      <c r="J14" s="7"/>
      <c r="K14" s="7"/>
      <c r="L14" s="7"/>
      <c r="M14" s="7">
        <v>25</v>
      </c>
      <c r="N14" s="3">
        <v>100</v>
      </c>
      <c r="O14" s="7"/>
      <c r="P14" s="5" t="e">
        <f t="shared" si="1"/>
        <v>#VALUE!</v>
      </c>
      <c r="Q14" s="5" t="e">
        <f t="shared" si="2"/>
        <v>#VALUE!</v>
      </c>
      <c r="R14" s="5" t="str">
        <f t="shared" si="0"/>
        <v>-&gt; ERROR</v>
      </c>
      <c r="S14" s="8" t="str">
        <f>Respuestas!C21</f>
        <v>Importancia:</v>
      </c>
      <c r="T14" t="s">
        <v>41</v>
      </c>
    </row>
    <row r="15" spans="1:20" x14ac:dyDescent="0.25">
      <c r="A15" t="s">
        <v>11</v>
      </c>
      <c r="B15" s="4" t="s">
        <v>21</v>
      </c>
      <c r="C15" s="9"/>
      <c r="D15" s="7"/>
      <c r="E15" s="7"/>
      <c r="F15" s="7"/>
      <c r="G15" s="7"/>
      <c r="H15" s="9"/>
      <c r="I15" s="7"/>
      <c r="J15" s="7"/>
      <c r="K15" s="7"/>
      <c r="L15" s="7"/>
      <c r="M15" s="7">
        <f>N15*M14/100</f>
        <v>6.25</v>
      </c>
      <c r="N15" s="7">
        <v>25</v>
      </c>
      <c r="O15" s="3">
        <v>100</v>
      </c>
      <c r="P15" s="5" t="e">
        <f t="shared" si="1"/>
        <v>#VALUE!</v>
      </c>
      <c r="Q15" s="5" t="e">
        <f t="shared" si="2"/>
        <v>#VALUE!</v>
      </c>
      <c r="R15" s="5" t="str">
        <f t="shared" si="0"/>
        <v>-&gt; ERROR</v>
      </c>
      <c r="S15" s="8" t="str">
        <f>Respuestas!C22</f>
        <v>Importancia:</v>
      </c>
      <c r="T15" t="s">
        <v>41</v>
      </c>
    </row>
    <row r="16" spans="1:20" x14ac:dyDescent="0.25">
      <c r="C16" s="1" t="str">
        <f>Respuestas!C10</f>
        <v>Importancia:</v>
      </c>
      <c r="D16" s="8" t="str">
        <f>Respuestas!C11</f>
        <v>Importancia:</v>
      </c>
      <c r="E16" s="8" t="str">
        <f>Respuestas!C12</f>
        <v>Importancia:</v>
      </c>
      <c r="F16" s="8" t="str">
        <f>Respuestas!C13</f>
        <v>Importancia:</v>
      </c>
      <c r="G16" s="8" t="str">
        <f>Respuestas!C14</f>
        <v>Importancia:</v>
      </c>
      <c r="H16" s="8" t="str">
        <f>Respuestas!C15</f>
        <v>Importancia:</v>
      </c>
      <c r="I16" s="8" t="str">
        <f>Respuestas!C16</f>
        <v>Importancia:</v>
      </c>
      <c r="J16" s="8" t="str">
        <f>Respuestas!C17</f>
        <v>Importancia:</v>
      </c>
      <c r="K16" s="8" t="str">
        <f>Respuestas!C18</f>
        <v>Importancia:</v>
      </c>
      <c r="L16" s="8" t="str">
        <f>Respuestas!C19</f>
        <v>Importancia:</v>
      </c>
      <c r="M16" s="8" t="str">
        <f>Respuestas!C20</f>
        <v>Importancia:</v>
      </c>
      <c r="N16" s="8" t="str">
        <f>Respuestas!C21</f>
        <v>Importancia:</v>
      </c>
      <c r="O16" s="8" t="str">
        <f>Respuestas!C22</f>
        <v>Importancia:</v>
      </c>
    </row>
    <row r="17" spans="1:20" x14ac:dyDescent="0.25">
      <c r="A17" t="s">
        <v>39</v>
      </c>
      <c r="B17" s="8">
        <f>SUM(C16:G16)</f>
        <v>0</v>
      </c>
    </row>
    <row r="18" spans="1:20" x14ac:dyDescent="0.25">
      <c r="A18" t="s">
        <v>42</v>
      </c>
      <c r="B18" s="8">
        <f>SUM(H16:O16)</f>
        <v>0</v>
      </c>
    </row>
    <row r="20" spans="1:20" x14ac:dyDescent="0.25">
      <c r="A20">
        <v>1</v>
      </c>
      <c r="B20">
        <v>2</v>
      </c>
      <c r="C20">
        <v>3</v>
      </c>
      <c r="D20">
        <v>4</v>
      </c>
      <c r="E20">
        <v>5</v>
      </c>
      <c r="F20">
        <v>6</v>
      </c>
      <c r="G20">
        <v>7</v>
      </c>
      <c r="H20">
        <v>8</v>
      </c>
      <c r="I20" s="1">
        <v>9</v>
      </c>
      <c r="J20" s="1">
        <v>10</v>
      </c>
      <c r="K20">
        <v>11</v>
      </c>
      <c r="L20">
        <v>12</v>
      </c>
      <c r="M20">
        <v>13</v>
      </c>
      <c r="N20">
        <v>14</v>
      </c>
      <c r="O20">
        <v>15</v>
      </c>
      <c r="P20">
        <v>16</v>
      </c>
      <c r="Q20">
        <v>17</v>
      </c>
      <c r="R20">
        <v>18</v>
      </c>
      <c r="S20">
        <v>19</v>
      </c>
      <c r="T20">
        <v>20</v>
      </c>
    </row>
    <row r="21" spans="1:20" x14ac:dyDescent="0.25">
      <c r="C21" s="18" t="s">
        <v>45</v>
      </c>
      <c r="D21" s="19" t="s">
        <v>19</v>
      </c>
      <c r="E21" s="19" t="s">
        <v>46</v>
      </c>
      <c r="G21"/>
      <c r="H21" s="4" t="s">
        <v>47</v>
      </c>
      <c r="I21" s="4" t="s">
        <v>48</v>
      </c>
      <c r="J21" s="4" t="s">
        <v>49</v>
      </c>
      <c r="K21" s="4" t="s">
        <v>15</v>
      </c>
      <c r="L21" s="4" t="s">
        <v>16</v>
      </c>
      <c r="M21" s="4" t="s">
        <v>50</v>
      </c>
      <c r="N21" s="4" t="s">
        <v>51</v>
      </c>
      <c r="O21" s="4" t="s">
        <v>52</v>
      </c>
      <c r="P21" s="4" t="s">
        <v>18</v>
      </c>
      <c r="Q21" s="4" t="s">
        <v>5</v>
      </c>
      <c r="R21" s="4" t="s">
        <v>19</v>
      </c>
      <c r="S21" s="4" t="s">
        <v>20</v>
      </c>
      <c r="T21" s="4" t="s">
        <v>21</v>
      </c>
    </row>
    <row r="22" spans="1:20" x14ac:dyDescent="0.25">
      <c r="B22" s="4" t="s">
        <v>47</v>
      </c>
      <c r="C22" s="21" t="str">
        <f>Respuestas!C10</f>
        <v>Importancia:</v>
      </c>
      <c r="D22" s="22" t="e">
        <f>IF(D24&gt;D23,D24,D23)</f>
        <v>#VALUE!</v>
      </c>
      <c r="E22" s="20" t="e">
        <f>IF(D24&gt;D23,E24,E23)</f>
        <v>#VALUE!</v>
      </c>
      <c r="G22" s="4" t="s">
        <v>12</v>
      </c>
      <c r="H22" s="8" t="e">
        <f t="shared" ref="H22:H34" si="3">C3*C$16/$B$17/2</f>
        <v>#VALUE!</v>
      </c>
      <c r="I22" s="5" t="e">
        <f t="shared" ref="I22:I34" si="4">D3*D$16/$B$17/2</f>
        <v>#VALUE!</v>
      </c>
      <c r="J22" s="5" t="e">
        <f t="shared" ref="J22:J34" si="5">E3*E$16/$B$17/2</f>
        <v>#VALUE!</v>
      </c>
      <c r="K22" s="5" t="e">
        <f t="shared" ref="K22:K34" si="6">F3*F$16/$B$17/2</f>
        <v>#VALUE!</v>
      </c>
      <c r="L22" s="5" t="e">
        <f t="shared" ref="L22:L34" si="7">G3*G$16/$B$17/2</f>
        <v>#VALUE!</v>
      </c>
      <c r="M22" s="8" t="e">
        <f t="shared" ref="M22:M34" si="8">H3*H$16/$B$18/2</f>
        <v>#VALUE!</v>
      </c>
      <c r="N22" s="5" t="e">
        <f t="shared" ref="N22:N34" si="9">I3*I$16/$B$18/2</f>
        <v>#VALUE!</v>
      </c>
      <c r="O22" s="5" t="e">
        <f t="shared" ref="O22:O34" si="10">J3*J$16/$B$18/2</f>
        <v>#VALUE!</v>
      </c>
      <c r="P22" s="5" t="e">
        <f t="shared" ref="P22:P34" si="11">K3*K$16/$B$18/2</f>
        <v>#VALUE!</v>
      </c>
      <c r="Q22" s="5" t="e">
        <f t="shared" ref="Q22:Q34" si="12">L3*L$16/$B$18/2</f>
        <v>#VALUE!</v>
      </c>
      <c r="R22" s="5" t="e">
        <f t="shared" ref="R22:R34" si="13">M3*M$16/$B$18/2</f>
        <v>#VALUE!</v>
      </c>
      <c r="S22" s="5" t="e">
        <f t="shared" ref="S22:S34" si="14">N3*N$16/$B$18/2</f>
        <v>#VALUE!</v>
      </c>
      <c r="T22" s="5" t="e">
        <f t="shared" ref="T22:T34" si="15">O3*O$16/$B$18/2</f>
        <v>#VALUE!</v>
      </c>
    </row>
    <row r="23" spans="1:20" x14ac:dyDescent="0.25">
      <c r="B23" s="4" t="s">
        <v>48</v>
      </c>
      <c r="C23" s="21" t="str">
        <f>Respuestas!C11</f>
        <v>Importancia:</v>
      </c>
      <c r="D23" s="22" t="e">
        <f>ROUND(SUM(H23:T23),2)</f>
        <v>#VALUE!</v>
      </c>
      <c r="E23" s="20" t="e">
        <f>_xlfn.CONCAT(H21," (",ROUND(H23,2),")",CHAR(10),I21," (",ROUND(I23,2),")",CHAR(10),CHAR(10),K21," (",ROUND(K23,2),")",CHAR(10),L21," (",ROUND(L23,2),")")</f>
        <v>#VALUE!</v>
      </c>
      <c r="G23" s="4" t="s">
        <v>13</v>
      </c>
      <c r="H23" s="8" t="e">
        <f t="shared" si="3"/>
        <v>#VALUE!</v>
      </c>
      <c r="I23" s="5" t="e">
        <f t="shared" si="4"/>
        <v>#VALUE!</v>
      </c>
      <c r="J23" s="5" t="e">
        <f t="shared" si="5"/>
        <v>#VALUE!</v>
      </c>
      <c r="K23" s="5" t="e">
        <f t="shared" si="6"/>
        <v>#VALUE!</v>
      </c>
      <c r="L23" s="5" t="e">
        <f t="shared" si="7"/>
        <v>#VALUE!</v>
      </c>
      <c r="M23" s="8" t="e">
        <f t="shared" si="8"/>
        <v>#VALUE!</v>
      </c>
      <c r="N23" s="5" t="e">
        <f t="shared" si="9"/>
        <v>#VALUE!</v>
      </c>
      <c r="O23" s="5" t="e">
        <f t="shared" si="10"/>
        <v>#VALUE!</v>
      </c>
      <c r="P23" s="5" t="e">
        <f t="shared" si="11"/>
        <v>#VALUE!</v>
      </c>
      <c r="Q23" s="5" t="e">
        <f t="shared" si="12"/>
        <v>#VALUE!</v>
      </c>
      <c r="R23" s="5" t="e">
        <f t="shared" si="13"/>
        <v>#VALUE!</v>
      </c>
      <c r="S23" s="5" t="e">
        <f t="shared" si="14"/>
        <v>#VALUE!</v>
      </c>
      <c r="T23" s="5" t="e">
        <f t="shared" si="15"/>
        <v>#VALUE!</v>
      </c>
    </row>
    <row r="24" spans="1:20" x14ac:dyDescent="0.25">
      <c r="B24" s="4" t="s">
        <v>49</v>
      </c>
      <c r="C24" s="21" t="str">
        <f>Respuestas!C12</f>
        <v>Importancia:</v>
      </c>
      <c r="D24" s="22" t="e">
        <f>ROUND(SUM(H24:T24),2)</f>
        <v>#VALUE!</v>
      </c>
      <c r="E24" s="20" t="e">
        <f>_xlfn.CONCAT(H21," (",ROUND(H24,2),")",CHAR(10),J21," (",ROUND(I24,2),")",CHAR(10),CHAR(10),K21," (",ROUND(K24,2),")",CHAR(10),L21," (",ROUND(L24,2),")")</f>
        <v>#VALUE!</v>
      </c>
      <c r="G24" s="4" t="s">
        <v>14</v>
      </c>
      <c r="H24" s="8" t="e">
        <f t="shared" si="3"/>
        <v>#VALUE!</v>
      </c>
      <c r="I24" s="5" t="e">
        <f t="shared" si="4"/>
        <v>#VALUE!</v>
      </c>
      <c r="J24" s="5" t="e">
        <f t="shared" si="5"/>
        <v>#VALUE!</v>
      </c>
      <c r="K24" s="5" t="e">
        <f t="shared" si="6"/>
        <v>#VALUE!</v>
      </c>
      <c r="L24" s="5" t="e">
        <f t="shared" si="7"/>
        <v>#VALUE!</v>
      </c>
      <c r="M24" s="8" t="e">
        <f t="shared" si="8"/>
        <v>#VALUE!</v>
      </c>
      <c r="N24" s="5" t="e">
        <f t="shared" si="9"/>
        <v>#VALUE!</v>
      </c>
      <c r="O24" s="5" t="e">
        <f t="shared" si="10"/>
        <v>#VALUE!</v>
      </c>
      <c r="P24" s="5" t="e">
        <f t="shared" si="11"/>
        <v>#VALUE!</v>
      </c>
      <c r="Q24" s="5" t="e">
        <f t="shared" si="12"/>
        <v>#VALUE!</v>
      </c>
      <c r="R24" s="5" t="e">
        <f t="shared" si="13"/>
        <v>#VALUE!</v>
      </c>
      <c r="S24" s="5" t="e">
        <f t="shared" si="14"/>
        <v>#VALUE!</v>
      </c>
      <c r="T24" s="5" t="e">
        <f t="shared" si="15"/>
        <v>#VALUE!</v>
      </c>
    </row>
    <row r="25" spans="1:20" x14ac:dyDescent="0.25">
      <c r="B25" s="4" t="s">
        <v>15</v>
      </c>
      <c r="C25" s="21" t="str">
        <f>Respuestas!C13</f>
        <v>Importancia:</v>
      </c>
      <c r="D25" s="22" t="e">
        <f>ROUND(SUM(H25:T25),2)</f>
        <v>#VALUE!</v>
      </c>
      <c r="E25" s="20" t="e">
        <f>_xlfn.CONCAT(K$21," (",ROUND(K25,2),")")</f>
        <v>#VALUE!</v>
      </c>
      <c r="G25" s="4" t="s">
        <v>15</v>
      </c>
      <c r="H25" s="8" t="e">
        <f t="shared" si="3"/>
        <v>#VALUE!</v>
      </c>
      <c r="I25" s="5" t="e">
        <f t="shared" si="4"/>
        <v>#VALUE!</v>
      </c>
      <c r="J25" s="5" t="e">
        <f t="shared" si="5"/>
        <v>#VALUE!</v>
      </c>
      <c r="K25" s="5" t="e">
        <f t="shared" si="6"/>
        <v>#VALUE!</v>
      </c>
      <c r="L25" s="5" t="e">
        <f t="shared" si="7"/>
        <v>#VALUE!</v>
      </c>
      <c r="M25" s="8" t="e">
        <f t="shared" si="8"/>
        <v>#VALUE!</v>
      </c>
      <c r="N25" s="5" t="e">
        <f t="shared" si="9"/>
        <v>#VALUE!</v>
      </c>
      <c r="O25" s="5" t="e">
        <f t="shared" si="10"/>
        <v>#VALUE!</v>
      </c>
      <c r="P25" s="5" t="e">
        <f t="shared" si="11"/>
        <v>#VALUE!</v>
      </c>
      <c r="Q25" s="5" t="e">
        <f t="shared" si="12"/>
        <v>#VALUE!</v>
      </c>
      <c r="R25" s="5" t="e">
        <f t="shared" si="13"/>
        <v>#VALUE!</v>
      </c>
      <c r="S25" s="5" t="e">
        <f t="shared" si="14"/>
        <v>#VALUE!</v>
      </c>
      <c r="T25" s="5" t="e">
        <f t="shared" si="15"/>
        <v>#VALUE!</v>
      </c>
    </row>
    <row r="26" spans="1:20" x14ac:dyDescent="0.25">
      <c r="B26" s="4" t="s">
        <v>16</v>
      </c>
      <c r="C26" s="21" t="str">
        <f>Respuestas!C14</f>
        <v>Importancia:</v>
      </c>
      <c r="D26" s="22" t="e">
        <f>ROUND(SUM(H26:T26),2)</f>
        <v>#VALUE!</v>
      </c>
      <c r="E26" s="20" t="e">
        <f>_xlfn.CONCAT(L21," (",ROUND(L26,2),")")</f>
        <v>#VALUE!</v>
      </c>
      <c r="G26" s="4" t="s">
        <v>16</v>
      </c>
      <c r="H26" s="8" t="e">
        <f t="shared" si="3"/>
        <v>#VALUE!</v>
      </c>
      <c r="I26" s="5" t="e">
        <f t="shared" si="4"/>
        <v>#VALUE!</v>
      </c>
      <c r="J26" s="5" t="e">
        <f t="shared" si="5"/>
        <v>#VALUE!</v>
      </c>
      <c r="K26" s="5" t="e">
        <f t="shared" si="6"/>
        <v>#VALUE!</v>
      </c>
      <c r="L26" s="5" t="e">
        <f t="shared" si="7"/>
        <v>#VALUE!</v>
      </c>
      <c r="M26" s="8" t="e">
        <f t="shared" si="8"/>
        <v>#VALUE!</v>
      </c>
      <c r="N26" s="5" t="e">
        <f t="shared" si="9"/>
        <v>#VALUE!</v>
      </c>
      <c r="O26" s="5" t="e">
        <f t="shared" si="10"/>
        <v>#VALUE!</v>
      </c>
      <c r="P26" s="5" t="e">
        <f t="shared" si="11"/>
        <v>#VALUE!</v>
      </c>
      <c r="Q26" s="5" t="e">
        <f t="shared" si="12"/>
        <v>#VALUE!</v>
      </c>
      <c r="R26" s="5" t="e">
        <f t="shared" si="13"/>
        <v>#VALUE!</v>
      </c>
      <c r="S26" s="5" t="e">
        <f t="shared" si="14"/>
        <v>#VALUE!</v>
      </c>
      <c r="T26" s="5" t="e">
        <f t="shared" si="15"/>
        <v>#VALUE!</v>
      </c>
    </row>
    <row r="27" spans="1:20" x14ac:dyDescent="0.25">
      <c r="B27" s="4" t="s">
        <v>50</v>
      </c>
      <c r="C27" s="21" t="str">
        <f>Respuestas!C15</f>
        <v>Importancia:</v>
      </c>
      <c r="D27" s="22" t="e">
        <f>IF(D29&gt;D28,D29,D28)</f>
        <v>#VALUE!</v>
      </c>
      <c r="E27" s="20" t="e">
        <f>IF(D29&gt;D28,E29,E28)</f>
        <v>#VALUE!</v>
      </c>
      <c r="G27" s="4" t="s">
        <v>17</v>
      </c>
      <c r="H27" s="8" t="e">
        <f t="shared" si="3"/>
        <v>#VALUE!</v>
      </c>
      <c r="I27" s="5" t="e">
        <f t="shared" si="4"/>
        <v>#VALUE!</v>
      </c>
      <c r="J27" s="5" t="e">
        <f t="shared" si="5"/>
        <v>#VALUE!</v>
      </c>
      <c r="K27" s="5" t="e">
        <f t="shared" si="6"/>
        <v>#VALUE!</v>
      </c>
      <c r="L27" s="5" t="e">
        <f t="shared" si="7"/>
        <v>#VALUE!</v>
      </c>
      <c r="M27" s="8" t="e">
        <f t="shared" si="8"/>
        <v>#VALUE!</v>
      </c>
      <c r="N27" s="5" t="e">
        <f t="shared" si="9"/>
        <v>#VALUE!</v>
      </c>
      <c r="O27" s="5" t="e">
        <f t="shared" si="10"/>
        <v>#VALUE!</v>
      </c>
      <c r="P27" s="5" t="e">
        <f t="shared" si="11"/>
        <v>#VALUE!</v>
      </c>
      <c r="Q27" s="5" t="e">
        <f t="shared" si="12"/>
        <v>#VALUE!</v>
      </c>
      <c r="R27" s="5" t="e">
        <f t="shared" si="13"/>
        <v>#VALUE!</v>
      </c>
      <c r="S27" s="5" t="e">
        <f t="shared" si="14"/>
        <v>#VALUE!</v>
      </c>
      <c r="T27" s="5" t="e">
        <f t="shared" si="15"/>
        <v>#VALUE!</v>
      </c>
    </row>
    <row r="28" spans="1:20" x14ac:dyDescent="0.25">
      <c r="B28" s="4" t="s">
        <v>51</v>
      </c>
      <c r="C28" s="21" t="str">
        <f>Respuestas!C16</f>
        <v>Importancia:</v>
      </c>
      <c r="D28" s="22" t="e">
        <f t="shared" ref="D28:D34" si="16">ROUND(SUM(H28:T28),2)</f>
        <v>#VALUE!</v>
      </c>
      <c r="E28" s="20" t="e">
        <f>_xlfn.CONCAT(M21," (",ROUND(M28,2),")",CHAR(10),N21," (",ROUND(N28,2),")",CHAR(10),CHAR(10),P21," (",ROUND(P28,2),")",CHAR(10),Q21," (",ROUND(Q28,2),")",CHAR(10),R21," (",ROUND(R28,2),")",CHAR(10),S21," (",ROUND(S28,2),")",CHAR(10),T21," (",ROUND(T28,2),")")</f>
        <v>#VALUE!</v>
      </c>
      <c r="G28" s="4" t="s">
        <v>13</v>
      </c>
      <c r="H28" s="8" t="e">
        <f t="shared" si="3"/>
        <v>#VALUE!</v>
      </c>
      <c r="I28" s="5" t="e">
        <f t="shared" si="4"/>
        <v>#VALUE!</v>
      </c>
      <c r="J28" s="5" t="e">
        <f t="shared" si="5"/>
        <v>#VALUE!</v>
      </c>
      <c r="K28" s="5" t="e">
        <f t="shared" si="6"/>
        <v>#VALUE!</v>
      </c>
      <c r="L28" s="5" t="e">
        <f t="shared" si="7"/>
        <v>#VALUE!</v>
      </c>
      <c r="M28" s="8" t="e">
        <f t="shared" si="8"/>
        <v>#VALUE!</v>
      </c>
      <c r="N28" s="5" t="e">
        <f t="shared" si="9"/>
        <v>#VALUE!</v>
      </c>
      <c r="O28" s="5" t="e">
        <f t="shared" si="10"/>
        <v>#VALUE!</v>
      </c>
      <c r="P28" s="5" t="e">
        <f t="shared" si="11"/>
        <v>#VALUE!</v>
      </c>
      <c r="Q28" s="5" t="e">
        <f t="shared" si="12"/>
        <v>#VALUE!</v>
      </c>
      <c r="R28" s="5" t="e">
        <f t="shared" si="13"/>
        <v>#VALUE!</v>
      </c>
      <c r="S28" s="5" t="e">
        <f t="shared" si="14"/>
        <v>#VALUE!</v>
      </c>
      <c r="T28" s="5" t="e">
        <f t="shared" si="15"/>
        <v>#VALUE!</v>
      </c>
    </row>
    <row r="29" spans="1:20" x14ac:dyDescent="0.25">
      <c r="B29" s="4" t="s">
        <v>52</v>
      </c>
      <c r="C29" s="21" t="str">
        <f>Respuestas!C17</f>
        <v>Importancia:</v>
      </c>
      <c r="D29" s="22" t="e">
        <f t="shared" si="16"/>
        <v>#VALUE!</v>
      </c>
      <c r="E29" s="20" t="e">
        <f>_xlfn.CONCAT(M21," (",ROUND(M29,2),")",CHAR(10),O21," (",ROUND(O29,2),")",CHAR(10),CHAR(10),P21," (",ROUND(P29,2),")",CHAR(10),Q21," (",ROUND(Q29,2),")",CHAR(10),R21," (",ROUND(R29,2),")",CHAR(10),S21," (",ROUND(S29,2),")",CHAR(10),T21," (",ROUND(T29,2),")")</f>
        <v>#VALUE!</v>
      </c>
      <c r="G29" s="4" t="s">
        <v>14</v>
      </c>
      <c r="H29" s="8" t="e">
        <f t="shared" si="3"/>
        <v>#VALUE!</v>
      </c>
      <c r="I29" s="5" t="e">
        <f t="shared" si="4"/>
        <v>#VALUE!</v>
      </c>
      <c r="J29" s="5" t="e">
        <f t="shared" si="5"/>
        <v>#VALUE!</v>
      </c>
      <c r="K29" s="5" t="e">
        <f t="shared" si="6"/>
        <v>#VALUE!</v>
      </c>
      <c r="L29" s="5" t="e">
        <f t="shared" si="7"/>
        <v>#VALUE!</v>
      </c>
      <c r="M29" s="8" t="e">
        <f t="shared" si="8"/>
        <v>#VALUE!</v>
      </c>
      <c r="N29" s="5" t="e">
        <f t="shared" si="9"/>
        <v>#VALUE!</v>
      </c>
      <c r="O29" s="5" t="e">
        <f t="shared" si="10"/>
        <v>#VALUE!</v>
      </c>
      <c r="P29" s="5" t="e">
        <f t="shared" si="11"/>
        <v>#VALUE!</v>
      </c>
      <c r="Q29" s="5" t="e">
        <f t="shared" si="12"/>
        <v>#VALUE!</v>
      </c>
      <c r="R29" s="5" t="e">
        <f t="shared" si="13"/>
        <v>#VALUE!</v>
      </c>
      <c r="S29" s="5" t="e">
        <f t="shared" si="14"/>
        <v>#VALUE!</v>
      </c>
      <c r="T29" s="5" t="e">
        <f t="shared" si="15"/>
        <v>#VALUE!</v>
      </c>
    </row>
    <row r="30" spans="1:20" x14ac:dyDescent="0.25">
      <c r="B30" s="4" t="s">
        <v>18</v>
      </c>
      <c r="C30" s="21" t="str">
        <f>Respuestas!C18</f>
        <v>Importancia:</v>
      </c>
      <c r="D30" s="22" t="e">
        <f t="shared" si="16"/>
        <v>#VALUE!</v>
      </c>
      <c r="E30" s="20" t="e">
        <f>_xlfn.CONCAT(P21," (",ROUND(P30,2),")",CHAR(10),CHAR(10),Q21," (",ROUND(Q30,2),")",CHAR(10),R21," (",ROUND(R30,2),")")</f>
        <v>#VALUE!</v>
      </c>
      <c r="G30" s="4" t="s">
        <v>18</v>
      </c>
      <c r="H30" s="8" t="e">
        <f t="shared" si="3"/>
        <v>#VALUE!</v>
      </c>
      <c r="I30" s="5" t="e">
        <f t="shared" si="4"/>
        <v>#VALUE!</v>
      </c>
      <c r="J30" s="5" t="e">
        <f t="shared" si="5"/>
        <v>#VALUE!</v>
      </c>
      <c r="K30" s="5" t="e">
        <f t="shared" si="6"/>
        <v>#VALUE!</v>
      </c>
      <c r="L30" s="5" t="e">
        <f t="shared" si="7"/>
        <v>#VALUE!</v>
      </c>
      <c r="M30" s="8" t="e">
        <f t="shared" si="8"/>
        <v>#VALUE!</v>
      </c>
      <c r="N30" s="5" t="e">
        <f t="shared" si="9"/>
        <v>#VALUE!</v>
      </c>
      <c r="O30" s="5" t="e">
        <f t="shared" si="10"/>
        <v>#VALUE!</v>
      </c>
      <c r="P30" s="5" t="e">
        <f t="shared" si="11"/>
        <v>#VALUE!</v>
      </c>
      <c r="Q30" s="5" t="e">
        <f t="shared" si="12"/>
        <v>#VALUE!</v>
      </c>
      <c r="R30" s="5" t="e">
        <f t="shared" si="13"/>
        <v>#VALUE!</v>
      </c>
      <c r="S30" s="5" t="e">
        <f t="shared" si="14"/>
        <v>#VALUE!</v>
      </c>
      <c r="T30" s="5" t="e">
        <f t="shared" si="15"/>
        <v>#VALUE!</v>
      </c>
    </row>
    <row r="31" spans="1:20" x14ac:dyDescent="0.25">
      <c r="B31" s="4" t="s">
        <v>5</v>
      </c>
      <c r="C31" s="21" t="str">
        <f>Respuestas!C19</f>
        <v>Importancia:</v>
      </c>
      <c r="D31" s="22" t="e">
        <f t="shared" si="16"/>
        <v>#VALUE!</v>
      </c>
      <c r="E31" s="20" t="e">
        <f>_xlfn.CONCAT(Q21," (",ROUND(Q31,2),")",CHAR(10),CHAR(10),R21," (",ROUND(R31,2),")")</f>
        <v>#VALUE!</v>
      </c>
      <c r="G31" s="4" t="s">
        <v>5</v>
      </c>
      <c r="H31" s="8" t="e">
        <f t="shared" si="3"/>
        <v>#VALUE!</v>
      </c>
      <c r="I31" s="5" t="e">
        <f t="shared" si="4"/>
        <v>#VALUE!</v>
      </c>
      <c r="J31" s="5" t="e">
        <f t="shared" si="5"/>
        <v>#VALUE!</v>
      </c>
      <c r="K31" s="5" t="e">
        <f t="shared" si="6"/>
        <v>#VALUE!</v>
      </c>
      <c r="L31" s="5" t="e">
        <f t="shared" si="7"/>
        <v>#VALUE!</v>
      </c>
      <c r="M31" s="8" t="e">
        <f t="shared" si="8"/>
        <v>#VALUE!</v>
      </c>
      <c r="N31" s="5" t="e">
        <f t="shared" si="9"/>
        <v>#VALUE!</v>
      </c>
      <c r="O31" s="5" t="e">
        <f t="shared" si="10"/>
        <v>#VALUE!</v>
      </c>
      <c r="P31" s="5" t="e">
        <f t="shared" si="11"/>
        <v>#VALUE!</v>
      </c>
      <c r="Q31" s="5" t="e">
        <f t="shared" si="12"/>
        <v>#VALUE!</v>
      </c>
      <c r="R31" s="5" t="e">
        <f t="shared" si="13"/>
        <v>#VALUE!</v>
      </c>
      <c r="S31" s="5" t="e">
        <f t="shared" si="14"/>
        <v>#VALUE!</v>
      </c>
      <c r="T31" s="5" t="e">
        <f t="shared" si="15"/>
        <v>#VALUE!</v>
      </c>
    </row>
    <row r="32" spans="1:20" x14ac:dyDescent="0.25">
      <c r="B32" s="4" t="s">
        <v>19</v>
      </c>
      <c r="C32" s="21" t="str">
        <f>Respuestas!C20</f>
        <v>Importancia:</v>
      </c>
      <c r="D32" s="22" t="e">
        <f t="shared" si="16"/>
        <v>#VALUE!</v>
      </c>
      <c r="E32" s="20" t="e">
        <f>_xlfn.CONCAT(R21," (",ROUND(R32,2),")")</f>
        <v>#VALUE!</v>
      </c>
      <c r="G32" s="4" t="s">
        <v>19</v>
      </c>
      <c r="H32" s="8" t="e">
        <f t="shared" si="3"/>
        <v>#VALUE!</v>
      </c>
      <c r="I32" s="5" t="e">
        <f t="shared" si="4"/>
        <v>#VALUE!</v>
      </c>
      <c r="J32" s="5" t="e">
        <f t="shared" si="5"/>
        <v>#VALUE!</v>
      </c>
      <c r="K32" s="5" t="e">
        <f t="shared" si="6"/>
        <v>#VALUE!</v>
      </c>
      <c r="L32" s="5" t="e">
        <f t="shared" si="7"/>
        <v>#VALUE!</v>
      </c>
      <c r="M32" s="8" t="e">
        <f t="shared" si="8"/>
        <v>#VALUE!</v>
      </c>
      <c r="N32" s="5" t="e">
        <f t="shared" si="9"/>
        <v>#VALUE!</v>
      </c>
      <c r="O32" s="5" t="e">
        <f t="shared" si="10"/>
        <v>#VALUE!</v>
      </c>
      <c r="P32" s="5" t="e">
        <f t="shared" si="11"/>
        <v>#VALUE!</v>
      </c>
      <c r="Q32" s="5" t="e">
        <f t="shared" si="12"/>
        <v>#VALUE!</v>
      </c>
      <c r="R32" s="5" t="e">
        <f t="shared" si="13"/>
        <v>#VALUE!</v>
      </c>
      <c r="S32" s="5" t="e">
        <f t="shared" si="14"/>
        <v>#VALUE!</v>
      </c>
      <c r="T32" s="5" t="e">
        <f t="shared" si="15"/>
        <v>#VALUE!</v>
      </c>
    </row>
    <row r="33" spans="2:20" x14ac:dyDescent="0.25">
      <c r="B33" s="4" t="s">
        <v>20</v>
      </c>
      <c r="C33" s="21" t="str">
        <f>Respuestas!C21</f>
        <v>Importancia:</v>
      </c>
      <c r="D33" s="22" t="e">
        <f t="shared" si="16"/>
        <v>#VALUE!</v>
      </c>
      <c r="E33" s="20" t="e">
        <f>_xlfn.CONCAT(S21," (",ROUND(S33,2),")")</f>
        <v>#VALUE!</v>
      </c>
      <c r="G33" s="4" t="s">
        <v>20</v>
      </c>
      <c r="H33" s="8" t="e">
        <f t="shared" si="3"/>
        <v>#VALUE!</v>
      </c>
      <c r="I33" s="5" t="e">
        <f t="shared" si="4"/>
        <v>#VALUE!</v>
      </c>
      <c r="J33" s="5" t="e">
        <f t="shared" si="5"/>
        <v>#VALUE!</v>
      </c>
      <c r="K33" s="5" t="e">
        <f t="shared" si="6"/>
        <v>#VALUE!</v>
      </c>
      <c r="L33" s="5" t="e">
        <f t="shared" si="7"/>
        <v>#VALUE!</v>
      </c>
      <c r="M33" s="8" t="e">
        <f t="shared" si="8"/>
        <v>#VALUE!</v>
      </c>
      <c r="N33" s="5" t="e">
        <f t="shared" si="9"/>
        <v>#VALUE!</v>
      </c>
      <c r="O33" s="5" t="e">
        <f t="shared" si="10"/>
        <v>#VALUE!</v>
      </c>
      <c r="P33" s="5" t="e">
        <f t="shared" si="11"/>
        <v>#VALUE!</v>
      </c>
      <c r="Q33" s="5" t="e">
        <f t="shared" si="12"/>
        <v>#VALUE!</v>
      </c>
      <c r="R33" s="5" t="e">
        <f t="shared" si="13"/>
        <v>#VALUE!</v>
      </c>
      <c r="S33" s="5" t="e">
        <f t="shared" si="14"/>
        <v>#VALUE!</v>
      </c>
      <c r="T33" s="5" t="e">
        <f t="shared" si="15"/>
        <v>#VALUE!</v>
      </c>
    </row>
    <row r="34" spans="2:20" x14ac:dyDescent="0.25">
      <c r="B34" s="4" t="s">
        <v>21</v>
      </c>
      <c r="C34" s="21" t="str">
        <f>Respuestas!C22</f>
        <v>Importancia:</v>
      </c>
      <c r="D34" s="22" t="e">
        <f t="shared" si="16"/>
        <v>#VALUE!</v>
      </c>
      <c r="E34" s="20" t="e">
        <f>_xlfn.CONCAT(T21," (",ROUND(T34,2),")",CHAR(10),CHAR(10),R21," (",ROUND(R34,2),")",CHAR(10),T$91," (",ROUND(S34,2),")")</f>
        <v>#VALUE!</v>
      </c>
      <c r="G34" s="4" t="s">
        <v>21</v>
      </c>
      <c r="H34" s="8" t="e">
        <f t="shared" si="3"/>
        <v>#VALUE!</v>
      </c>
      <c r="I34" s="5" t="e">
        <f t="shared" si="4"/>
        <v>#VALUE!</v>
      </c>
      <c r="J34" s="5" t="e">
        <f t="shared" si="5"/>
        <v>#VALUE!</v>
      </c>
      <c r="K34" s="5" t="e">
        <f t="shared" si="6"/>
        <v>#VALUE!</v>
      </c>
      <c r="L34" s="5" t="e">
        <f t="shared" si="7"/>
        <v>#VALUE!</v>
      </c>
      <c r="M34" s="8" t="e">
        <f t="shared" si="8"/>
        <v>#VALUE!</v>
      </c>
      <c r="N34" s="5" t="e">
        <f t="shared" si="9"/>
        <v>#VALUE!</v>
      </c>
      <c r="O34" s="5" t="e">
        <f t="shared" si="10"/>
        <v>#VALUE!</v>
      </c>
      <c r="P34" s="5" t="e">
        <f t="shared" si="11"/>
        <v>#VALUE!</v>
      </c>
      <c r="Q34" s="5" t="e">
        <f t="shared" si="12"/>
        <v>#VALUE!</v>
      </c>
      <c r="R34" s="5" t="e">
        <f t="shared" si="13"/>
        <v>#VALUE!</v>
      </c>
      <c r="S34" s="5" t="e">
        <f t="shared" si="14"/>
        <v>#VALUE!</v>
      </c>
      <c r="T34" s="5" t="e">
        <f t="shared" si="15"/>
        <v>#VALUE!</v>
      </c>
    </row>
    <row r="49" spans="3:21" x14ac:dyDescent="0.25">
      <c r="C49"/>
      <c r="D49"/>
      <c r="E49" s="5"/>
      <c r="F49"/>
      <c r="G49"/>
      <c r="H49"/>
      <c r="I49"/>
      <c r="J4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</sheetData>
  <mergeCells count="2">
    <mergeCell ref="C1:F1"/>
    <mergeCell ref="G1:O1"/>
  </mergeCells>
  <conditionalFormatting sqref="K49:U49 I22:L34 N22:T34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8D335-750C-4899-A65F-767961A78CD7}">
  <sheetPr codeName="Hoja4"/>
  <dimension ref="A1:I17"/>
  <sheetViews>
    <sheetView workbookViewId="0"/>
  </sheetViews>
  <sheetFormatPr baseColWidth="10" defaultRowHeight="15" x14ac:dyDescent="0.25"/>
  <cols>
    <col min="1" max="1" width="17.42578125" bestFit="1" customWidth="1"/>
    <col min="2" max="2" width="32.5703125" customWidth="1"/>
    <col min="3" max="3" width="19.5703125" bestFit="1" customWidth="1"/>
    <col min="5" max="5" width="30.28515625" customWidth="1"/>
    <col min="6" max="6" width="22.85546875" customWidth="1"/>
  </cols>
  <sheetData>
    <row r="1" spans="1:9" ht="30" x14ac:dyDescent="0.25">
      <c r="A1" s="13" t="s">
        <v>0</v>
      </c>
      <c r="B1" s="13" t="s">
        <v>43</v>
      </c>
      <c r="C1" s="13" t="s">
        <v>44</v>
      </c>
      <c r="D1" s="14" t="s">
        <v>54</v>
      </c>
      <c r="E1" s="15" t="s">
        <v>53</v>
      </c>
      <c r="F1" s="14"/>
      <c r="H1" s="16"/>
      <c r="I1" s="17"/>
    </row>
    <row r="2" spans="1:9" x14ac:dyDescent="0.25">
      <c r="A2" s="31" t="s">
        <v>10</v>
      </c>
      <c r="B2" s="20" t="str">
        <f>Propagacion!B22</f>
        <v>Organizar reunión</v>
      </c>
      <c r="C2" s="23" t="str">
        <f>Propagacion!C22</f>
        <v>Importancia:</v>
      </c>
      <c r="D2" s="24" t="e">
        <f>Propagacion!D22</f>
        <v>#VALUE!</v>
      </c>
      <c r="E2" s="20" t="e">
        <f>Propagacion!E22</f>
        <v>#VALUE!</v>
      </c>
      <c r="F2" s="25" t="s">
        <v>41</v>
      </c>
    </row>
    <row r="3" spans="1:9" x14ac:dyDescent="0.25">
      <c r="A3" s="31"/>
      <c r="B3" s="20" t="str">
        <f>Propagacion!B23</f>
        <v>Manualmente</v>
      </c>
      <c r="C3" s="23" t="str">
        <f>Propagacion!C23</f>
        <v>Importancia:</v>
      </c>
      <c r="D3" s="24" t="e">
        <f>Propagacion!D23</f>
        <v>#VALUE!</v>
      </c>
      <c r="E3" s="20" t="e">
        <f>Propagacion!E23</f>
        <v>#VALUE!</v>
      </c>
      <c r="F3" s="25" t="s">
        <v>41</v>
      </c>
    </row>
    <row r="4" spans="1:9" x14ac:dyDescent="0.25">
      <c r="A4" s="31"/>
      <c r="B4" s="20" t="str">
        <f>Propagacion!B24</f>
        <v>Usar meeting scheduler</v>
      </c>
      <c r="C4" s="23" t="str">
        <f>Propagacion!C24</f>
        <v>Importancia:</v>
      </c>
      <c r="D4" s="24" t="e">
        <f>Propagacion!D24</f>
        <v>#VALUE!</v>
      </c>
      <c r="E4" s="20" t="e">
        <f>Propagacion!E24</f>
        <v>#VALUE!</v>
      </c>
      <c r="F4" s="25" t="s">
        <v>41</v>
      </c>
    </row>
    <row r="5" spans="1:9" x14ac:dyDescent="0.25">
      <c r="A5" s="31"/>
      <c r="B5" s="20" t="str">
        <f>Propagacion!B25</f>
        <v>Rápido</v>
      </c>
      <c r="C5" s="23" t="str">
        <f>Propagacion!C25</f>
        <v>Importancia:</v>
      </c>
      <c r="D5" s="24" t="e">
        <f>Propagacion!D25</f>
        <v>#VALUE!</v>
      </c>
      <c r="E5" s="20" t="e">
        <f>Propagacion!E25</f>
        <v>#VALUE!</v>
      </c>
      <c r="F5" s="25" t="s">
        <v>41</v>
      </c>
    </row>
    <row r="6" spans="1:9" x14ac:dyDescent="0.25">
      <c r="A6" s="31"/>
      <c r="B6" s="20" t="str">
        <f>Propagacion!B26</f>
        <v>Poco Esfuerzo</v>
      </c>
      <c r="C6" s="23" t="str">
        <f>Propagacion!C26</f>
        <v>Importancia:</v>
      </c>
      <c r="D6" s="24" t="e">
        <f>Propagacion!D26</f>
        <v>#VALUE!</v>
      </c>
      <c r="E6" s="20" t="e">
        <f>Propagacion!E26</f>
        <v>#VALUE!</v>
      </c>
      <c r="F6" s="25" t="s">
        <v>41</v>
      </c>
    </row>
    <row r="9" spans="1:9" ht="30" x14ac:dyDescent="0.25">
      <c r="A9" s="13" t="s">
        <v>0</v>
      </c>
      <c r="B9" s="13" t="s">
        <v>43</v>
      </c>
      <c r="C9" s="13" t="s">
        <v>44</v>
      </c>
      <c r="D9" s="14" t="s">
        <v>54</v>
      </c>
      <c r="E9" s="15" t="s">
        <v>53</v>
      </c>
    </row>
    <row r="10" spans="1:9" x14ac:dyDescent="0.25">
      <c r="A10" s="32" t="s">
        <v>11</v>
      </c>
      <c r="B10" s="20" t="str">
        <f>Propagacion!B27</f>
        <v>Asistir reunión</v>
      </c>
      <c r="C10" s="23" t="str">
        <f>Propagacion!C27</f>
        <v>Importancia:</v>
      </c>
      <c r="D10" s="24" t="e">
        <f>Propagacion!D27</f>
        <v>#VALUE!</v>
      </c>
      <c r="E10" s="20" t="e">
        <f>Propagacion!E27</f>
        <v>#VALUE!</v>
      </c>
      <c r="F10" s="25" t="s">
        <v>41</v>
      </c>
    </row>
    <row r="11" spans="1:9" ht="30" x14ac:dyDescent="0.25">
      <c r="A11" s="32"/>
      <c r="B11" s="20" t="str">
        <f>Propagacion!B28</f>
        <v>Encontrar fecha hablando con el iniciador</v>
      </c>
      <c r="C11" s="23" t="str">
        <f>Propagacion!C28</f>
        <v>Importancia:</v>
      </c>
      <c r="D11" s="24" t="e">
        <f>Propagacion!D28</f>
        <v>#VALUE!</v>
      </c>
      <c r="E11" s="20" t="e">
        <f>Propagacion!E28</f>
        <v>#VALUE!</v>
      </c>
      <c r="F11" s="25" t="s">
        <v>41</v>
      </c>
    </row>
    <row r="12" spans="1:9" ht="30" x14ac:dyDescent="0.25">
      <c r="A12" s="32"/>
      <c r="B12" s="20" t="str">
        <f>Propagacion!B29</f>
        <v>Encontrar fecha usando meeting scheduler</v>
      </c>
      <c r="C12" s="23" t="str">
        <f>Propagacion!C29</f>
        <v>Importancia:</v>
      </c>
      <c r="D12" s="24" t="e">
        <f>Propagacion!D29</f>
        <v>#VALUE!</v>
      </c>
      <c r="E12" s="20" t="e">
        <f>Propagacion!E29</f>
        <v>#VALUE!</v>
      </c>
      <c r="F12" s="25" t="s">
        <v>41</v>
      </c>
    </row>
    <row r="13" spans="1:9" x14ac:dyDescent="0.25">
      <c r="A13" s="32"/>
      <c r="B13" s="20" t="str">
        <f>Propagacion!B30</f>
        <v>Expresividad del canal</v>
      </c>
      <c r="C13" s="23" t="str">
        <f>Propagacion!C30</f>
        <v>Importancia:</v>
      </c>
      <c r="D13" s="24" t="e">
        <f>Propagacion!D30</f>
        <v>#VALUE!</v>
      </c>
      <c r="E13" s="20" t="e">
        <f>Propagacion!E30</f>
        <v>#VALUE!</v>
      </c>
      <c r="F13" s="25" t="s">
        <v>41</v>
      </c>
    </row>
    <row r="14" spans="1:9" x14ac:dyDescent="0.25">
      <c r="A14" s="32"/>
      <c r="B14" s="20" t="str">
        <f>Propagacion!B31</f>
        <v>Calidad</v>
      </c>
      <c r="C14" s="23" t="str">
        <f>Propagacion!C31</f>
        <v>Importancia:</v>
      </c>
      <c r="D14" s="24" t="e">
        <f>Propagacion!D31</f>
        <v>#VALUE!</v>
      </c>
      <c r="E14" s="20" t="e">
        <f>Propagacion!E31</f>
        <v>#VALUE!</v>
      </c>
      <c r="F14" s="25" t="s">
        <v>41</v>
      </c>
    </row>
    <row r="15" spans="1:9" x14ac:dyDescent="0.25">
      <c r="A15" s="32"/>
      <c r="B15" s="20" t="str">
        <f>Propagacion!B32</f>
        <v>Satisfacción</v>
      </c>
      <c r="C15" s="23" t="str">
        <f>Propagacion!C32</f>
        <v>Importancia:</v>
      </c>
      <c r="D15" s="24" t="e">
        <f>Propagacion!D32</f>
        <v>#VALUE!</v>
      </c>
      <c r="E15" s="20" t="e">
        <f>Propagacion!E32</f>
        <v>#VALUE!</v>
      </c>
      <c r="F15" s="25" t="s">
        <v>41</v>
      </c>
    </row>
    <row r="16" spans="1:9" x14ac:dyDescent="0.25">
      <c r="A16" s="32"/>
      <c r="B16" s="20" t="str">
        <f>Propagacion!B33</f>
        <v>Bajo esfuerzo</v>
      </c>
      <c r="C16" s="23" t="str">
        <f>Propagacion!C33</f>
        <v>Importancia:</v>
      </c>
      <c r="D16" s="24" t="e">
        <f>Propagacion!D33</f>
        <v>#VALUE!</v>
      </c>
      <c r="E16" s="20" t="e">
        <f>Propagacion!E33</f>
        <v>#VALUE!</v>
      </c>
      <c r="F16" s="25" t="s">
        <v>41</v>
      </c>
    </row>
    <row r="17" spans="1:6" x14ac:dyDescent="0.25">
      <c r="A17" s="32"/>
      <c r="B17" s="20" t="str">
        <f>Propagacion!B34</f>
        <v>Fácil de usar</v>
      </c>
      <c r="C17" s="23" t="str">
        <f>Propagacion!C34</f>
        <v>Importancia:</v>
      </c>
      <c r="D17" s="24" t="e">
        <f>Propagacion!D34</f>
        <v>#VALUE!</v>
      </c>
      <c r="E17" s="20" t="e">
        <f>Propagacion!E34</f>
        <v>#VALUE!</v>
      </c>
      <c r="F17" s="25" t="s">
        <v>41</v>
      </c>
    </row>
  </sheetData>
  <mergeCells count="2">
    <mergeCell ref="A2:A6"/>
    <mergeCell ref="A10:A17"/>
  </mergeCells>
  <dataValidations count="1">
    <dataValidation type="list" allowBlank="1" showInputMessage="1" showErrorMessage="1" sqref="F2:F6 F10:F17" xr:uid="{FB029238-7D2B-4E77-B531-3C7396A07757}">
      <formula1>Evaluar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Acciones a realizar</vt:lpstr>
      <vt:lpstr>Respuestas</vt:lpstr>
      <vt:lpstr>Propagacion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2021-10-06T18:37:14Z</dcterms:modified>
</cp:coreProperties>
</file>