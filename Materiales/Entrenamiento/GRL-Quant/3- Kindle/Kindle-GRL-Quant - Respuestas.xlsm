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ov\Desktop\WEB 2\GRL-Quant Training\3- Kindle\"/>
    </mc:Choice>
  </mc:AlternateContent>
  <xr:revisionPtr revIDLastSave="0" documentId="13_ncr:1_{960685AD-096C-4843-948F-0853C14E106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cciones a realizar" sheetId="1" r:id="rId1"/>
    <sheet name="Respuestas" sheetId="3" r:id="rId2"/>
    <sheet name="Propagacion" sheetId="4" r:id="rId3"/>
    <sheet name="Evaluacion" sheetId="5" r:id="rId4"/>
  </sheets>
  <definedNames>
    <definedName name="certeza">Respuestas!$F$1:$F$5</definedName>
    <definedName name="Evaluar">Respuestas!$G$1:$G$5</definedName>
    <definedName name="Importancias">Respuestas!$E$1:$E$5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" i="4" l="1"/>
  <c r="N5" i="4"/>
  <c r="N6" i="4"/>
  <c r="N7" i="4"/>
  <c r="N8" i="4"/>
  <c r="N9" i="4"/>
  <c r="N10" i="4"/>
  <c r="N11" i="4"/>
  <c r="N3" i="4"/>
  <c r="C20" i="4"/>
  <c r="C21" i="4"/>
  <c r="C22" i="4"/>
  <c r="C23" i="4"/>
  <c r="C24" i="4"/>
  <c r="C25" i="4"/>
  <c r="C26" i="4"/>
  <c r="C27" i="4"/>
  <c r="C19" i="4"/>
  <c r="E11" i="3" l="1"/>
  <c r="E12" i="3"/>
  <c r="E13" i="3"/>
  <c r="E14" i="3"/>
  <c r="E15" i="3"/>
  <c r="E16" i="3"/>
  <c r="E17" i="3"/>
  <c r="E18" i="3"/>
  <c r="E10" i="3"/>
  <c r="O4" i="4"/>
  <c r="O5" i="4"/>
  <c r="O6" i="4"/>
  <c r="O7" i="4"/>
  <c r="O8" i="4"/>
  <c r="O9" i="4"/>
  <c r="O10" i="4"/>
  <c r="O11" i="4"/>
  <c r="O3" i="4"/>
  <c r="D12" i="4"/>
  <c r="E12" i="4"/>
  <c r="F12" i="4"/>
  <c r="G12" i="4"/>
  <c r="H12" i="4"/>
  <c r="I12" i="4"/>
  <c r="J12" i="4"/>
  <c r="K12" i="4"/>
  <c r="C12" i="4"/>
  <c r="B15" i="4" l="1"/>
  <c r="N26" i="4" s="1"/>
  <c r="B14" i="4"/>
  <c r="L10" i="4" s="1"/>
  <c r="P21" i="4" l="1"/>
  <c r="L19" i="4"/>
  <c r="M19" i="4"/>
  <c r="L25" i="4"/>
  <c r="P24" i="4"/>
  <c r="M21" i="4"/>
  <c r="P26" i="4"/>
  <c r="O22" i="4"/>
  <c r="L23" i="4"/>
  <c r="P19" i="4"/>
  <c r="O23" i="4"/>
  <c r="N23" i="4"/>
  <c r="L21" i="4"/>
  <c r="L24" i="4"/>
  <c r="P20" i="4"/>
  <c r="O25" i="4"/>
  <c r="N21" i="4"/>
  <c r="H26" i="4"/>
  <c r="K22" i="4"/>
  <c r="E22" i="4" s="1"/>
  <c r="H22" i="4"/>
  <c r="J24" i="4"/>
  <c r="K25" i="4"/>
  <c r="K26" i="4"/>
  <c r="I24" i="4"/>
  <c r="H21" i="4"/>
  <c r="J23" i="4"/>
  <c r="K23" i="4"/>
  <c r="I22" i="4"/>
  <c r="J19" i="4"/>
  <c r="H24" i="4"/>
  <c r="J20" i="4"/>
  <c r="J25" i="4"/>
  <c r="K20" i="4"/>
  <c r="K27" i="4"/>
  <c r="I20" i="4"/>
  <c r="I25" i="4"/>
  <c r="H20" i="4"/>
  <c r="H25" i="4"/>
  <c r="J21" i="4"/>
  <c r="J27" i="4"/>
  <c r="K21" i="4"/>
  <c r="I21" i="4"/>
  <c r="I26" i="4"/>
  <c r="L22" i="4"/>
  <c r="L27" i="4"/>
  <c r="P25" i="4"/>
  <c r="P23" i="4"/>
  <c r="H19" i="4"/>
  <c r="H23" i="4"/>
  <c r="H27" i="4"/>
  <c r="J22" i="4"/>
  <c r="J26" i="4"/>
  <c r="K19" i="4"/>
  <c r="K24" i="4"/>
  <c r="O26" i="4"/>
  <c r="E26" i="4" s="1"/>
  <c r="O20" i="4"/>
  <c r="I19" i="4"/>
  <c r="I23" i="4"/>
  <c r="I27" i="4"/>
  <c r="M25" i="4"/>
  <c r="M23" i="4"/>
  <c r="N20" i="4"/>
  <c r="N25" i="4"/>
  <c r="L26" i="4"/>
  <c r="L20" i="4"/>
  <c r="P22" i="4"/>
  <c r="P27" i="4"/>
  <c r="E27" i="4" s="1"/>
  <c r="O27" i="4"/>
  <c r="O24" i="4"/>
  <c r="M20" i="4"/>
  <c r="M22" i="4"/>
  <c r="M27" i="4"/>
  <c r="N24" i="4"/>
  <c r="N22" i="4"/>
  <c r="O19" i="4"/>
  <c r="O21" i="4"/>
  <c r="M24" i="4"/>
  <c r="E24" i="4" s="1"/>
  <c r="M26" i="4"/>
  <c r="N19" i="4"/>
  <c r="N27" i="4"/>
  <c r="L8" i="4"/>
  <c r="L6" i="4"/>
  <c r="L4" i="4"/>
  <c r="L9" i="4"/>
  <c r="L5" i="4"/>
  <c r="L11" i="4"/>
  <c r="M4" i="4"/>
  <c r="M6" i="4"/>
  <c r="M5" i="4"/>
  <c r="M8" i="4"/>
  <c r="M9" i="4"/>
  <c r="M11" i="4"/>
  <c r="M10" i="4"/>
  <c r="E20" i="4" l="1"/>
  <c r="D22" i="4"/>
  <c r="D27" i="4"/>
  <c r="D25" i="4"/>
  <c r="D24" i="4"/>
  <c r="D26" i="4"/>
  <c r="D21" i="4"/>
  <c r="E25" i="4"/>
  <c r="D20" i="4"/>
  <c r="E21" i="4"/>
  <c r="M7" i="4"/>
  <c r="M3" i="4"/>
  <c r="L7" i="4"/>
  <c r="L3" i="4"/>
  <c r="D19" i="4" l="1"/>
  <c r="E19" i="4"/>
  <c r="E23" i="4"/>
  <c r="D23" i="4"/>
  <c r="B2" i="5" l="1" a="1"/>
  <c r="B2" i="5" s="1"/>
  <c r="B9" i="5" a="1"/>
  <c r="B9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<sst xmlns="http://schemas.openxmlformats.org/spreadsheetml/2006/main" count="135" uniqueCount="44">
  <si>
    <t>Actor</t>
  </si>
  <si>
    <t>Importancia</t>
  </si>
  <si>
    <t>IE</t>
  </si>
  <si>
    <t>Completamente seguro</t>
  </si>
  <si>
    <t>Bastante seguro</t>
  </si>
  <si>
    <t>No seguro en absoluto</t>
  </si>
  <si>
    <t>Importancia:</t>
  </si>
  <si>
    <t>Poco seguro</t>
  </si>
  <si>
    <t>Casi nada seguro</t>
  </si>
  <si>
    <t>Totalmente de acuerdo</t>
  </si>
  <si>
    <t>De acuerdo</t>
  </si>
  <si>
    <t>Ni de acuerdo ni en desacuerdo</t>
  </si>
  <si>
    <t>En desacuerdo</t>
  </si>
  <si>
    <t>Totalmente en desacuerdo</t>
  </si>
  <si>
    <t>Evaluación</t>
  </si>
  <si>
    <t>Evaluar:</t>
  </si>
  <si>
    <t>Leer libros</t>
  </si>
  <si>
    <t>Papel</t>
  </si>
  <si>
    <t>Kindle</t>
  </si>
  <si>
    <t>Bajo coste</t>
  </si>
  <si>
    <t>Lector</t>
  </si>
  <si>
    <t>Publicar libro</t>
  </si>
  <si>
    <t>Beneficio</t>
  </si>
  <si>
    <t>Aumentar lectores</t>
  </si>
  <si>
    <t>Autor</t>
  </si>
  <si>
    <t>Leer</t>
  </si>
  <si>
    <t>Coste</t>
  </si>
  <si>
    <t>Publicar</t>
  </si>
  <si>
    <t>Aumentar</t>
  </si>
  <si>
    <t>LECTOR</t>
  </si>
  <si>
    <t>AUTOR</t>
  </si>
  <si>
    <t>T Lector</t>
  </si>
  <si>
    <t>T Autor</t>
  </si>
  <si>
    <t>*</t>
  </si>
  <si>
    <t>S Autor</t>
  </si>
  <si>
    <t>S Lector</t>
  </si>
  <si>
    <t>S Total</t>
  </si>
  <si>
    <t>Grado de importancia</t>
  </si>
  <si>
    <t>Directa</t>
  </si>
  <si>
    <t>Satisfacción</t>
  </si>
  <si>
    <t>Elemento Intencional</t>
  </si>
  <si>
    <t>Nivel de importancia</t>
  </si>
  <si>
    <t>Satisfacción
[-100, 100]</t>
  </si>
  <si>
    <t>Elementos que contribuyen a la satisfacción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</si>
</sst>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4" borderId="0" applyNumberFormat="0" applyBorder="0" applyAlignment="0" applyProtection="0"/>
    <xf numFmtId="0" fontId="3" fillId="5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6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3" borderId="1" xfId="0" applyFill="1" applyBorder="1" applyAlignment="1">
      <alignment vertical="center"/>
    </xf>
    <xf numFmtId="2" fontId="0" fillId="0" borderId="0" xfId="0" applyNumberFormat="1" applyAlignment="1">
      <alignment horizontal="right" vertical="center"/>
    </xf>
    <xf numFmtId="0" fontId="0" fillId="0" borderId="0" xfId="0" applyAlignment="1">
      <alignment wrapText="1"/>
    </xf>
    <xf numFmtId="0" fontId="0" fillId="3" borderId="2" xfId="0" applyFill="1" applyBorder="1" applyAlignme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3" fillId="5" borderId="0" xfId="2" applyAlignment="1">
      <alignment horizontal="center" vertical="center"/>
    </xf>
    <xf numFmtId="0" fontId="2" fillId="4" borderId="0" xfId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0" fontId="1" fillId="0" borderId="0" xfId="0" quotePrefix="1" applyFont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vertical="center" wrapText="1"/>
    </xf>
  </cellXfs>
  <cellStyles count="3">
    <cellStyle name="Bueno" xfId="1" builtinId="26"/>
    <cellStyle name="Neutral" xfId="2" builtinId="2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581024</xdr:colOff>
      <xdr:row>1</xdr:row>
      <xdr:rowOff>38101</xdr:rowOff>
    </xdr:from>
    <xdr:to>
      <xdr:col>5</xdr:col>
      <xdr:colOff>57149</xdr:colOff>
      <xdr:row>5</xdr:row>
      <xdr:rowOff>142875</xdr:rowOff>
    </xdr:to>
    <xdr:sp macro="[0]!PrUs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AE8979C-9B34-4FE7-8D3A-8EBFDC868461}"/>
            </a:ext>
          </a:extLst>
        </xdr:cNvPr>
        <xdr:cNvSpPr/>
      </xdr:nvSpPr>
      <xdr:spPr>
        <a:xfrm>
          <a:off x="581024" y="228601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1:</a:t>
          </a:r>
          <a:br>
            <a:rPr lang="es-ES" sz="1100"/>
          </a:br>
          <a:r>
            <a:rPr lang="es-ES" sz="1100"/>
            <a:t>Priorización</a:t>
          </a:r>
          <a:r>
            <a:rPr lang="es-ES" sz="1100" baseline="0"/>
            <a:t> </a:t>
          </a:r>
          <a:endParaRPr lang="es-ES" sz="1100"/>
        </a:p>
      </xdr:txBody>
    </xdr:sp>
    <xdr:clientData/>
  </xdr:twoCellAnchor>
  <xdr:twoCellAnchor>
    <xdr:from>
      <xdr:col>0</xdr:col>
      <xdr:colOff>561975</xdr:colOff>
      <xdr:row>7</xdr:row>
      <xdr:rowOff>0</xdr:rowOff>
    </xdr:from>
    <xdr:to>
      <xdr:col>5</xdr:col>
      <xdr:colOff>38100</xdr:colOff>
      <xdr:row>11</xdr:row>
      <xdr:rowOff>104774</xdr:rowOff>
    </xdr:to>
    <xdr:sp macro="[0]!PropaI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8DC2910-90D1-4C6D-9D66-63968871DA32}"/>
            </a:ext>
          </a:extLst>
        </xdr:cNvPr>
        <xdr:cNvSpPr/>
      </xdr:nvSpPr>
      <xdr:spPr>
        <a:xfrm>
          <a:off x="561975" y="1333500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2:</a:t>
          </a:r>
          <a:br>
            <a:rPr lang="es-ES" sz="1100"/>
          </a:br>
          <a:r>
            <a:rPr lang="es-ES" sz="1100"/>
            <a:t>Propagación</a:t>
          </a:r>
        </a:p>
      </xdr:txBody>
    </xdr:sp>
    <xdr:clientData/>
  </xdr:twoCellAnchor>
  <xdr:twoCellAnchor>
    <xdr:from>
      <xdr:col>0</xdr:col>
      <xdr:colOff>561975</xdr:colOff>
      <xdr:row>13</xdr:row>
      <xdr:rowOff>0</xdr:rowOff>
    </xdr:from>
    <xdr:to>
      <xdr:col>5</xdr:col>
      <xdr:colOff>38100</xdr:colOff>
      <xdr:row>17</xdr:row>
      <xdr:rowOff>104774</xdr:rowOff>
    </xdr:to>
    <xdr:sp macro="[0]!EvalI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717A669-0DE8-4D80-96A1-163BD4ADF97E}"/>
            </a:ext>
          </a:extLst>
        </xdr:cNvPr>
        <xdr:cNvSpPr/>
      </xdr:nvSpPr>
      <xdr:spPr>
        <a:xfrm>
          <a:off x="561975" y="2476500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3:</a:t>
          </a:r>
          <a:br>
            <a:rPr lang="es-ES" sz="1100"/>
          </a:br>
          <a:r>
            <a:rPr lang="es-ES" sz="1100"/>
            <a:t>Evaluación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tabSelected="1" workbookViewId="0"/>
  </sheetViews>
  <sheetFormatPr baseColWidth="10" defaultColWidth="9.14062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2E6D-403D-4D5A-A7CE-2BC3E7A4A0A7}">
  <sheetPr codeName="Hoja3"/>
  <dimension ref="A1:G18"/>
  <sheetViews>
    <sheetView zoomScaleNormal="100" workbookViewId="0">
      <selection activeCell="B16" sqref="B16"/>
    </sheetView>
  </sheetViews>
  <sheetFormatPr baseColWidth="10" defaultRowHeight="15" x14ac:dyDescent="0.25"/>
  <cols>
    <col min="1" max="2" width="23.42578125" bestFit="1" customWidth="1"/>
    <col min="6" max="6" width="22.140625" bestFit="1" customWidth="1"/>
  </cols>
  <sheetData>
    <row r="1" spans="1:7" x14ac:dyDescent="0.25">
      <c r="E1">
        <v>100</v>
      </c>
      <c r="F1" t="s">
        <v>3</v>
      </c>
      <c r="G1" t="s">
        <v>9</v>
      </c>
    </row>
    <row r="2" spans="1:7" x14ac:dyDescent="0.25">
      <c r="E2">
        <v>75</v>
      </c>
      <c r="F2" t="s">
        <v>4</v>
      </c>
      <c r="G2" t="s">
        <v>10</v>
      </c>
    </row>
    <row r="3" spans="1:7" x14ac:dyDescent="0.25">
      <c r="E3">
        <v>50</v>
      </c>
      <c r="F3" t="s">
        <v>7</v>
      </c>
      <c r="G3" t="s">
        <v>11</v>
      </c>
    </row>
    <row r="4" spans="1:7" x14ac:dyDescent="0.25">
      <c r="E4">
        <v>25</v>
      </c>
      <c r="F4" t="s">
        <v>8</v>
      </c>
      <c r="G4" t="s">
        <v>12</v>
      </c>
    </row>
    <row r="5" spans="1:7" x14ac:dyDescent="0.25">
      <c r="E5">
        <v>0</v>
      </c>
      <c r="F5" t="s">
        <v>5</v>
      </c>
      <c r="G5" t="s">
        <v>13</v>
      </c>
    </row>
    <row r="8" spans="1:7" x14ac:dyDescent="0.25">
      <c r="C8" t="s">
        <v>6</v>
      </c>
      <c r="E8" t="s">
        <v>15</v>
      </c>
    </row>
    <row r="9" spans="1:7" x14ac:dyDescent="0.25">
      <c r="A9" t="s">
        <v>0</v>
      </c>
      <c r="B9" t="s">
        <v>2</v>
      </c>
      <c r="C9" t="s">
        <v>1</v>
      </c>
      <c r="E9" t="s">
        <v>14</v>
      </c>
    </row>
    <row r="10" spans="1:7" x14ac:dyDescent="0.25">
      <c r="A10" t="s">
        <v>20</v>
      </c>
      <c r="B10" t="s">
        <v>16</v>
      </c>
      <c r="C10">
        <v>100</v>
      </c>
      <c r="E10" t="str">
        <f>Propagacion!P3</f>
        <v>Evaluar:</v>
      </c>
      <c r="G10" t="s">
        <v>6</v>
      </c>
    </row>
    <row r="11" spans="1:7" x14ac:dyDescent="0.25">
      <c r="A11" t="s">
        <v>20</v>
      </c>
      <c r="B11" t="s">
        <v>17</v>
      </c>
      <c r="C11">
        <v>50</v>
      </c>
      <c r="E11" t="str">
        <f>Propagacion!P4</f>
        <v>Evaluar:</v>
      </c>
    </row>
    <row r="12" spans="1:7" x14ac:dyDescent="0.25">
      <c r="A12" t="s">
        <v>20</v>
      </c>
      <c r="B12" t="s">
        <v>18</v>
      </c>
      <c r="C12">
        <v>25</v>
      </c>
      <c r="E12" t="str">
        <f>Propagacion!P5</f>
        <v>Evaluar:</v>
      </c>
    </row>
    <row r="13" spans="1:7" x14ac:dyDescent="0.25">
      <c r="A13" t="s">
        <v>20</v>
      </c>
      <c r="B13" t="s">
        <v>19</v>
      </c>
      <c r="C13">
        <v>75</v>
      </c>
      <c r="E13" t="str">
        <f>Propagacion!P6</f>
        <v>Evaluar:</v>
      </c>
    </row>
    <row r="14" spans="1:7" x14ac:dyDescent="0.25">
      <c r="A14" t="s">
        <v>24</v>
      </c>
      <c r="B14" t="s">
        <v>21</v>
      </c>
      <c r="C14">
        <v>100</v>
      </c>
      <c r="E14" t="str">
        <f>Propagacion!P7</f>
        <v>Evaluar:</v>
      </c>
    </row>
    <row r="15" spans="1:7" x14ac:dyDescent="0.25">
      <c r="A15" t="s">
        <v>24</v>
      </c>
      <c r="B15" t="s">
        <v>17</v>
      </c>
      <c r="C15">
        <v>50</v>
      </c>
      <c r="E15" t="str">
        <f>Propagacion!P8</f>
        <v>Evaluar:</v>
      </c>
    </row>
    <row r="16" spans="1:7" x14ac:dyDescent="0.25">
      <c r="A16" t="s">
        <v>24</v>
      </c>
      <c r="B16" t="s">
        <v>18</v>
      </c>
      <c r="C16">
        <v>50</v>
      </c>
      <c r="E16" t="str">
        <f>Propagacion!P9</f>
        <v>Evaluar:</v>
      </c>
    </row>
    <row r="17" spans="1:5" x14ac:dyDescent="0.25">
      <c r="A17" t="s">
        <v>24</v>
      </c>
      <c r="B17" t="s">
        <v>22</v>
      </c>
      <c r="C17">
        <v>25</v>
      </c>
      <c r="E17" t="str">
        <f>Propagacion!P10</f>
        <v>Evaluar:</v>
      </c>
    </row>
    <row r="18" spans="1:5" x14ac:dyDescent="0.25">
      <c r="A18" t="s">
        <v>24</v>
      </c>
      <c r="B18" t="s">
        <v>23</v>
      </c>
      <c r="C18">
        <v>100</v>
      </c>
      <c r="E18" t="str">
        <f>Propagacion!P11</f>
        <v>Evaluar: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EB95B-0308-405F-BA18-DD54FE318A07}">
  <sheetPr codeName="Hoja2"/>
  <dimension ref="A1:W69"/>
  <sheetViews>
    <sheetView zoomScaleNormal="100" workbookViewId="0">
      <selection activeCell="N3" sqref="N3:N11"/>
    </sheetView>
  </sheetViews>
  <sheetFormatPr baseColWidth="10" defaultRowHeight="15" x14ac:dyDescent="0.25"/>
  <cols>
    <col min="2" max="2" width="23.42578125" bestFit="1" customWidth="1"/>
    <col min="3" max="4" width="11.42578125" style="1"/>
    <col min="5" max="5" width="38.7109375" style="1" customWidth="1"/>
    <col min="6" max="9" width="11.42578125" style="1"/>
  </cols>
  <sheetData>
    <row r="1" spans="1:16" x14ac:dyDescent="0.25">
      <c r="A1" s="2" t="s">
        <v>0</v>
      </c>
      <c r="C1" s="30" t="s">
        <v>29</v>
      </c>
      <c r="D1" s="31"/>
      <c r="E1" s="31"/>
      <c r="F1" s="32"/>
      <c r="G1" s="30" t="s">
        <v>30</v>
      </c>
      <c r="H1" s="31"/>
      <c r="I1" s="31"/>
      <c r="J1" s="31"/>
      <c r="K1" s="31"/>
      <c r="L1" t="s">
        <v>35</v>
      </c>
      <c r="M1" t="s">
        <v>34</v>
      </c>
      <c r="N1" t="s">
        <v>36</v>
      </c>
    </row>
    <row r="2" spans="1:16" x14ac:dyDescent="0.25">
      <c r="A2" s="2"/>
      <c r="B2" s="2"/>
      <c r="C2" s="9" t="s">
        <v>25</v>
      </c>
      <c r="D2" s="10" t="s">
        <v>17</v>
      </c>
      <c r="E2" s="10" t="s">
        <v>18</v>
      </c>
      <c r="F2" s="10" t="s">
        <v>26</v>
      </c>
      <c r="G2" s="9" t="s">
        <v>27</v>
      </c>
      <c r="H2" s="10" t="s">
        <v>17</v>
      </c>
      <c r="I2" s="10" t="s">
        <v>18</v>
      </c>
      <c r="J2" s="10" t="s">
        <v>22</v>
      </c>
      <c r="K2" s="10" t="s">
        <v>28</v>
      </c>
      <c r="L2" s="14" t="s">
        <v>33</v>
      </c>
      <c r="M2" s="14" t="s">
        <v>33</v>
      </c>
      <c r="N2" s="14" t="s">
        <v>33</v>
      </c>
      <c r="O2" s="14" t="s">
        <v>1</v>
      </c>
      <c r="P2" s="14" t="s">
        <v>14</v>
      </c>
    </row>
    <row r="3" spans="1:16" x14ac:dyDescent="0.25">
      <c r="A3" t="s">
        <v>20</v>
      </c>
      <c r="B3" s="4" t="s">
        <v>16</v>
      </c>
      <c r="C3" s="3">
        <v>100</v>
      </c>
      <c r="D3" s="11"/>
      <c r="E3" s="11"/>
      <c r="F3" s="6"/>
      <c r="G3" s="11"/>
      <c r="H3" s="6"/>
      <c r="I3" s="6"/>
      <c r="J3" s="6"/>
      <c r="K3" s="6"/>
      <c r="L3">
        <f>MAX(((C3*C$12+D3*D$12+E3*E$12+F3*F$12)/$B$14),L4:L5)</f>
        <v>72.5</v>
      </c>
      <c r="M3">
        <f>MAX(((G3*G$12+H3*H$12+I3*I$12+J3*J$12+K3*K$12)/$B$15),M4:M5)</f>
        <v>0</v>
      </c>
      <c r="N3" t="str">
        <f>_xlfn.CONCAT("-&gt; ",IFERROR(ROUND(SUM(L3:M3),2),"ERROR"))</f>
        <v>-&gt; 72,5</v>
      </c>
      <c r="O3">
        <f>Respuestas!C10</f>
        <v>100</v>
      </c>
      <c r="P3" t="s">
        <v>15</v>
      </c>
    </row>
    <row r="4" spans="1:16" x14ac:dyDescent="0.25">
      <c r="A4" t="s">
        <v>20</v>
      </c>
      <c r="B4" s="4" t="s">
        <v>17</v>
      </c>
      <c r="C4" s="11">
        <v>100</v>
      </c>
      <c r="D4" s="3">
        <v>100</v>
      </c>
      <c r="E4" s="6"/>
      <c r="F4" s="6">
        <v>25</v>
      </c>
      <c r="G4" s="11"/>
      <c r="H4" s="6"/>
      <c r="I4" s="6"/>
      <c r="J4" s="6"/>
      <c r="K4" s="6"/>
      <c r="L4">
        <f t="shared" ref="L4:L11" si="0">(C4*C$12+D4*D$12+E4*E$12+F4*F$12)/$B$14</f>
        <v>67.5</v>
      </c>
      <c r="M4">
        <f t="shared" ref="M4:M11" si="1">(G4*G$12+H4*H$12+I4*I$12+J4*J$12+K4*K$12)/$B$15</f>
        <v>0</v>
      </c>
      <c r="N4" t="str">
        <f t="shared" ref="N4:N11" si="2">_xlfn.CONCAT("-&gt; ",IFERROR(ROUND(SUM(L4:M4),2),"ERROR"))</f>
        <v>-&gt; 67,5</v>
      </c>
      <c r="O4">
        <f>Respuestas!C11</f>
        <v>50</v>
      </c>
      <c r="P4" t="s">
        <v>15</v>
      </c>
    </row>
    <row r="5" spans="1:16" x14ac:dyDescent="0.25">
      <c r="A5" t="s">
        <v>20</v>
      </c>
      <c r="B5" s="4" t="s">
        <v>18</v>
      </c>
      <c r="C5" s="11">
        <v>100</v>
      </c>
      <c r="D5" s="6"/>
      <c r="E5" s="3">
        <v>100</v>
      </c>
      <c r="F5" s="6">
        <v>75</v>
      </c>
      <c r="G5" s="11"/>
      <c r="H5" s="6"/>
      <c r="I5" s="6"/>
      <c r="J5" s="6"/>
      <c r="K5" s="6"/>
      <c r="L5">
        <f t="shared" si="0"/>
        <v>72.5</v>
      </c>
      <c r="M5">
        <f t="shared" si="1"/>
        <v>0</v>
      </c>
      <c r="N5" t="str">
        <f t="shared" si="2"/>
        <v>-&gt; 72,5</v>
      </c>
      <c r="O5">
        <f>Respuestas!C12</f>
        <v>25</v>
      </c>
      <c r="P5" t="s">
        <v>15</v>
      </c>
    </row>
    <row r="6" spans="1:16" x14ac:dyDescent="0.25">
      <c r="A6" t="s">
        <v>20</v>
      </c>
      <c r="B6" s="4" t="s">
        <v>19</v>
      </c>
      <c r="C6" s="11"/>
      <c r="D6" s="6"/>
      <c r="E6" s="6"/>
      <c r="F6" s="3">
        <v>100</v>
      </c>
      <c r="G6" s="11"/>
      <c r="H6" s="6"/>
      <c r="I6" s="6"/>
      <c r="J6" s="6"/>
      <c r="K6" s="6"/>
      <c r="L6">
        <f t="shared" si="0"/>
        <v>30</v>
      </c>
      <c r="M6">
        <f t="shared" si="1"/>
        <v>0</v>
      </c>
      <c r="N6" t="str">
        <f t="shared" si="2"/>
        <v>-&gt; 30</v>
      </c>
      <c r="O6">
        <f>Respuestas!C13</f>
        <v>75</v>
      </c>
      <c r="P6" t="s">
        <v>15</v>
      </c>
    </row>
    <row r="7" spans="1:16" x14ac:dyDescent="0.25">
      <c r="A7" t="s">
        <v>24</v>
      </c>
      <c r="B7" s="4" t="s">
        <v>21</v>
      </c>
      <c r="C7" s="11"/>
      <c r="D7" s="6"/>
      <c r="E7" s="6"/>
      <c r="F7" s="6"/>
      <c r="G7" s="3">
        <v>100</v>
      </c>
      <c r="I7" s="11"/>
      <c r="J7" s="6"/>
      <c r="K7" s="6"/>
      <c r="L7">
        <f>MAX(((C7*C$12+D7*D$12+E7*E$12+F7*F$12)/$B$14),L8:L9)</f>
        <v>0</v>
      </c>
      <c r="M7">
        <f>MAX(((G7*G$12+H7*H$12+I7*I$12+J7*J$12+K7*K$12)/$B$15),M8:M9)</f>
        <v>72.115384615384613</v>
      </c>
      <c r="N7" t="str">
        <f t="shared" si="2"/>
        <v>-&gt; 72,12</v>
      </c>
      <c r="O7">
        <f>Respuestas!C14</f>
        <v>100</v>
      </c>
      <c r="P7" t="s">
        <v>15</v>
      </c>
    </row>
    <row r="8" spans="1:16" x14ac:dyDescent="0.25">
      <c r="A8" t="s">
        <v>24</v>
      </c>
      <c r="B8" s="4" t="s">
        <v>17</v>
      </c>
      <c r="C8" s="11"/>
      <c r="D8" s="6"/>
      <c r="E8" s="6"/>
      <c r="F8" s="6"/>
      <c r="G8" s="11">
        <v>100</v>
      </c>
      <c r="H8" s="3">
        <v>100</v>
      </c>
      <c r="I8" s="6"/>
      <c r="J8" s="6">
        <v>62.5</v>
      </c>
      <c r="K8" s="6">
        <v>25</v>
      </c>
      <c r="L8">
        <f t="shared" si="0"/>
        <v>0</v>
      </c>
      <c r="M8">
        <f t="shared" si="1"/>
        <v>58.653846153846153</v>
      </c>
      <c r="N8" t="str">
        <f t="shared" si="2"/>
        <v>-&gt; 58,65</v>
      </c>
      <c r="O8">
        <f>Respuestas!C15</f>
        <v>50</v>
      </c>
      <c r="P8" t="s">
        <v>15</v>
      </c>
    </row>
    <row r="9" spans="1:16" x14ac:dyDescent="0.25">
      <c r="A9" t="s">
        <v>24</v>
      </c>
      <c r="B9" s="4" t="s">
        <v>18</v>
      </c>
      <c r="C9" s="11"/>
      <c r="D9" s="6"/>
      <c r="E9" s="6"/>
      <c r="F9" s="6"/>
      <c r="G9" s="11">
        <v>100</v>
      </c>
      <c r="H9" s="6"/>
      <c r="I9" s="3">
        <v>100</v>
      </c>
      <c r="J9" s="6">
        <v>37.5</v>
      </c>
      <c r="K9" s="6">
        <v>75</v>
      </c>
      <c r="L9">
        <f t="shared" si="0"/>
        <v>0</v>
      </c>
      <c r="M9">
        <f t="shared" si="1"/>
        <v>72.115384615384613</v>
      </c>
      <c r="N9" t="str">
        <f t="shared" si="2"/>
        <v>-&gt; 72,12</v>
      </c>
      <c r="O9">
        <f>Respuestas!C16</f>
        <v>50</v>
      </c>
      <c r="P9" t="s">
        <v>15</v>
      </c>
    </row>
    <row r="10" spans="1:16" x14ac:dyDescent="0.25">
      <c r="A10" t="s">
        <v>24</v>
      </c>
      <c r="B10" s="4" t="s">
        <v>22</v>
      </c>
      <c r="C10" s="11"/>
      <c r="D10" s="6"/>
      <c r="E10" s="6"/>
      <c r="F10" s="6"/>
      <c r="G10" s="11"/>
      <c r="H10" s="6"/>
      <c r="I10" s="6"/>
      <c r="J10" s="3">
        <v>100</v>
      </c>
      <c r="K10" s="6"/>
      <c r="L10">
        <f t="shared" si="0"/>
        <v>0</v>
      </c>
      <c r="M10">
        <f t="shared" si="1"/>
        <v>7.6923076923076925</v>
      </c>
      <c r="N10" t="str">
        <f t="shared" si="2"/>
        <v>-&gt; 7,69</v>
      </c>
      <c r="O10">
        <f>Respuestas!C17</f>
        <v>25</v>
      </c>
      <c r="P10" t="s">
        <v>15</v>
      </c>
    </row>
    <row r="11" spans="1:16" x14ac:dyDescent="0.25">
      <c r="A11" t="s">
        <v>24</v>
      </c>
      <c r="B11" s="4" t="s">
        <v>23</v>
      </c>
      <c r="C11" s="11"/>
      <c r="D11" s="6"/>
      <c r="E11" s="6"/>
      <c r="F11" s="6"/>
      <c r="G11" s="11"/>
      <c r="H11" s="8"/>
      <c r="I11" s="8"/>
      <c r="J11" s="8"/>
      <c r="K11" s="3">
        <v>100</v>
      </c>
      <c r="L11">
        <f t="shared" si="0"/>
        <v>0</v>
      </c>
      <c r="M11">
        <f t="shared" si="1"/>
        <v>30.76923076923077</v>
      </c>
      <c r="N11" t="str">
        <f t="shared" si="2"/>
        <v>-&gt; 30,77</v>
      </c>
      <c r="O11">
        <f>Respuestas!C18</f>
        <v>100</v>
      </c>
      <c r="P11" t="s">
        <v>15</v>
      </c>
    </row>
    <row r="12" spans="1:16" x14ac:dyDescent="0.25">
      <c r="C12" s="1">
        <f>Respuestas!C10</f>
        <v>100</v>
      </c>
      <c r="D12" s="7">
        <f>Respuestas!C11</f>
        <v>50</v>
      </c>
      <c r="E12" s="7">
        <f>Respuestas!C12</f>
        <v>25</v>
      </c>
      <c r="F12" s="7">
        <f>Respuestas!C13</f>
        <v>75</v>
      </c>
      <c r="G12" s="7">
        <f>Respuestas!C14</f>
        <v>100</v>
      </c>
      <c r="H12" s="7">
        <f>Respuestas!C15</f>
        <v>50</v>
      </c>
      <c r="I12" s="7">
        <f>Respuestas!C16</f>
        <v>50</v>
      </c>
      <c r="J12" s="7">
        <f>Respuestas!C17</f>
        <v>25</v>
      </c>
      <c r="K12" s="7">
        <f>Respuestas!C18</f>
        <v>100</v>
      </c>
    </row>
    <row r="14" spans="1:16" x14ac:dyDescent="0.25">
      <c r="A14" t="s">
        <v>31</v>
      </c>
      <c r="B14" s="7">
        <f>SUM(C12:F12)</f>
        <v>250</v>
      </c>
    </row>
    <row r="15" spans="1:16" x14ac:dyDescent="0.25">
      <c r="A15" t="s">
        <v>32</v>
      </c>
      <c r="B15" s="7">
        <f>SUM(G12:K12)</f>
        <v>325</v>
      </c>
    </row>
    <row r="17" spans="1:16" x14ac:dyDescent="0.25">
      <c r="A17">
        <v>1</v>
      </c>
      <c r="B17">
        <v>2</v>
      </c>
      <c r="C17">
        <v>3</v>
      </c>
      <c r="D17">
        <v>4</v>
      </c>
      <c r="E17">
        <v>5</v>
      </c>
      <c r="F17">
        <v>6</v>
      </c>
      <c r="G17">
        <v>7</v>
      </c>
      <c r="H17">
        <v>8</v>
      </c>
      <c r="I17">
        <v>9</v>
      </c>
      <c r="J17">
        <v>10</v>
      </c>
      <c r="K17">
        <v>11</v>
      </c>
      <c r="L17">
        <v>12</v>
      </c>
      <c r="M17">
        <v>13</v>
      </c>
      <c r="N17">
        <v>14</v>
      </c>
      <c r="O17">
        <v>15</v>
      </c>
      <c r="P17">
        <v>16</v>
      </c>
    </row>
    <row r="18" spans="1:16" x14ac:dyDescent="0.25">
      <c r="C18" s="15" t="s">
        <v>37</v>
      </c>
      <c r="D18" s="16" t="s">
        <v>39</v>
      </c>
      <c r="E18" s="16" t="s">
        <v>38</v>
      </c>
      <c r="F18"/>
      <c r="G18"/>
      <c r="H18" s="20" t="s">
        <v>16</v>
      </c>
      <c r="I18" s="10" t="s">
        <v>17</v>
      </c>
      <c r="J18" s="10" t="s">
        <v>18</v>
      </c>
      <c r="K18" s="17" t="s">
        <v>19</v>
      </c>
      <c r="L18" s="20" t="s">
        <v>21</v>
      </c>
      <c r="M18" s="10" t="s">
        <v>17</v>
      </c>
      <c r="N18" s="10" t="s">
        <v>18</v>
      </c>
      <c r="O18" s="10" t="s">
        <v>22</v>
      </c>
      <c r="P18" s="17" t="s">
        <v>23</v>
      </c>
    </row>
    <row r="19" spans="1:16" ht="60" x14ac:dyDescent="0.25">
      <c r="B19" s="17" t="s">
        <v>16</v>
      </c>
      <c r="C19">
        <f>Respuestas!C10</f>
        <v>100</v>
      </c>
      <c r="D19" s="18">
        <f>IF(D21&gt;D20,D21,D20)</f>
        <v>36.25</v>
      </c>
      <c r="E19" s="19" t="str">
        <f>IF(D21&gt;D20,E21,E20)</f>
        <v>Leer libros (20)
Kindle (5)
Bajo coste (11,25)</v>
      </c>
      <c r="F19"/>
      <c r="G19" s="4" t="s">
        <v>16</v>
      </c>
      <c r="H19" s="5">
        <f t="shared" ref="H19:H27" si="3">C3*C$12/$B$14/2</f>
        <v>20</v>
      </c>
      <c r="I19">
        <f t="shared" ref="I19:I27" si="4">D3*D$12/$B$14/2</f>
        <v>0</v>
      </c>
      <c r="J19" s="5">
        <f t="shared" ref="J19:J27" si="5">E3*E$12/$B$14/2</f>
        <v>0</v>
      </c>
      <c r="K19">
        <f t="shared" ref="K19:K27" si="6">F3*F$12/$B$14/2</f>
        <v>0</v>
      </c>
      <c r="L19" s="5">
        <f t="shared" ref="L19:L27" si="7">G3*G$12/$B$15/2</f>
        <v>0</v>
      </c>
      <c r="M19" s="5">
        <f t="shared" ref="M19:M27" si="8">H3*H$12/$B$15/2</f>
        <v>0</v>
      </c>
      <c r="N19" s="5">
        <f t="shared" ref="N19:N27" si="9">I3*I$12/$B$15/2</f>
        <v>0</v>
      </c>
      <c r="O19" s="5">
        <f t="shared" ref="O19:O27" si="10">J3*J$12/$B$15/2</f>
        <v>0</v>
      </c>
      <c r="P19" s="5">
        <f t="shared" ref="P19:P27" si="11">K3*K$12/$B$15/2</f>
        <v>0</v>
      </c>
    </row>
    <row r="20" spans="1:16" ht="60" x14ac:dyDescent="0.25">
      <c r="B20" s="17" t="s">
        <v>17</v>
      </c>
      <c r="C20">
        <f>Respuestas!C11</f>
        <v>50</v>
      </c>
      <c r="D20" s="18">
        <f t="shared" ref="D20:D27" si="12">ROUND(SUM(H20:P20),2)</f>
        <v>33.75</v>
      </c>
      <c r="E20" s="19" t="str">
        <f>_xlfn.CONCAT(H18," (",ROUND(H20,2),")",CHAR(10),I18," (",ROUND(I20,2),")",CHAR(10),CHAR(10),K18," (",ROUND(K20,2),")")</f>
        <v>Leer libros (20)
Papel (10)
Bajo coste (3,75)</v>
      </c>
      <c r="F20"/>
      <c r="G20" s="4" t="s">
        <v>17</v>
      </c>
      <c r="H20">
        <f t="shared" si="3"/>
        <v>20</v>
      </c>
      <c r="I20" s="5">
        <f t="shared" si="4"/>
        <v>10</v>
      </c>
      <c r="J20" s="5">
        <f t="shared" si="5"/>
        <v>0</v>
      </c>
      <c r="K20">
        <f t="shared" si="6"/>
        <v>3.75</v>
      </c>
      <c r="L20" s="5">
        <f t="shared" si="7"/>
        <v>0</v>
      </c>
      <c r="M20" s="5">
        <f t="shared" si="8"/>
        <v>0</v>
      </c>
      <c r="N20" s="5">
        <f t="shared" si="9"/>
        <v>0</v>
      </c>
      <c r="O20" s="5">
        <f t="shared" si="10"/>
        <v>0</v>
      </c>
      <c r="P20" s="5">
        <f t="shared" si="11"/>
        <v>0</v>
      </c>
    </row>
    <row r="21" spans="1:16" ht="60" x14ac:dyDescent="0.25">
      <c r="B21" s="17" t="s">
        <v>18</v>
      </c>
      <c r="C21">
        <f>Respuestas!C12</f>
        <v>25</v>
      </c>
      <c r="D21" s="18">
        <f t="shared" si="12"/>
        <v>36.25</v>
      </c>
      <c r="E21" s="19" t="str">
        <f>_xlfn.CONCAT(H18," (",ROUND(H21,2),")",CHAR(10),J18," (",ROUND(J21,2),")",CHAR(10),CHAR(10),K18," (",ROUND(K21,2),")")</f>
        <v>Leer libros (20)
Kindle (5)
Bajo coste (11,25)</v>
      </c>
      <c r="F21"/>
      <c r="G21" s="4" t="s">
        <v>18</v>
      </c>
      <c r="H21">
        <f t="shared" si="3"/>
        <v>20</v>
      </c>
      <c r="I21" s="5">
        <f t="shared" si="4"/>
        <v>0</v>
      </c>
      <c r="J21" s="5">
        <f t="shared" si="5"/>
        <v>5</v>
      </c>
      <c r="K21">
        <f t="shared" si="6"/>
        <v>11.25</v>
      </c>
      <c r="L21" s="5">
        <f t="shared" si="7"/>
        <v>0</v>
      </c>
      <c r="M21" s="5">
        <f t="shared" si="8"/>
        <v>0</v>
      </c>
      <c r="N21" s="5">
        <f t="shared" si="9"/>
        <v>0</v>
      </c>
      <c r="O21" s="5">
        <f t="shared" si="10"/>
        <v>0</v>
      </c>
      <c r="P21" s="5">
        <f t="shared" si="11"/>
        <v>0</v>
      </c>
    </row>
    <row r="22" spans="1:16" x14ac:dyDescent="0.25">
      <c r="B22" s="17" t="s">
        <v>19</v>
      </c>
      <c r="C22">
        <f>Respuestas!C13</f>
        <v>75</v>
      </c>
      <c r="D22" s="18">
        <f t="shared" si="12"/>
        <v>15</v>
      </c>
      <c r="E22" s="19" t="str">
        <f>_xlfn.CONCAT(K18," (",ROUND(K22,2),")")</f>
        <v>Bajo coste (15)</v>
      </c>
      <c r="F22"/>
      <c r="G22" s="4" t="s">
        <v>19</v>
      </c>
      <c r="H22">
        <f t="shared" si="3"/>
        <v>0</v>
      </c>
      <c r="I22" s="5">
        <f t="shared" si="4"/>
        <v>0</v>
      </c>
      <c r="J22" s="5">
        <f t="shared" si="5"/>
        <v>0</v>
      </c>
      <c r="K22">
        <f t="shared" si="6"/>
        <v>15</v>
      </c>
      <c r="L22" s="5">
        <f t="shared" si="7"/>
        <v>0</v>
      </c>
      <c r="M22" s="5">
        <f t="shared" si="8"/>
        <v>0</v>
      </c>
      <c r="N22" s="5">
        <f t="shared" si="9"/>
        <v>0</v>
      </c>
      <c r="O22" s="5">
        <f t="shared" si="10"/>
        <v>0</v>
      </c>
      <c r="P22" s="5">
        <f t="shared" si="11"/>
        <v>0</v>
      </c>
    </row>
    <row r="23" spans="1:16" ht="75" x14ac:dyDescent="0.25">
      <c r="B23" s="17" t="s">
        <v>21</v>
      </c>
      <c r="C23">
        <f>Respuestas!C14</f>
        <v>100</v>
      </c>
      <c r="D23" s="18">
        <f>IF(D25&gt;D24,D25,D24)</f>
        <v>36.06</v>
      </c>
      <c r="E23" s="19" t="str">
        <f>IF(D25&gt;D24,E25,E24)</f>
        <v>Publicar libro (15,38)
Kindle (7,69)
Beneficio (1,44)
Aumentar lectores (11,54)</v>
      </c>
      <c r="F23"/>
      <c r="G23" s="4" t="s">
        <v>21</v>
      </c>
      <c r="H23">
        <f t="shared" si="3"/>
        <v>0</v>
      </c>
      <c r="I23" s="5">
        <f t="shared" si="4"/>
        <v>0</v>
      </c>
      <c r="J23" s="5">
        <f t="shared" si="5"/>
        <v>0</v>
      </c>
      <c r="K23">
        <f t="shared" si="6"/>
        <v>0</v>
      </c>
      <c r="L23" s="5">
        <f t="shared" si="7"/>
        <v>15.384615384615385</v>
      </c>
      <c r="M23" s="5">
        <f t="shared" si="8"/>
        <v>0</v>
      </c>
      <c r="N23" s="5">
        <f t="shared" si="9"/>
        <v>0</v>
      </c>
      <c r="O23" s="5">
        <f t="shared" si="10"/>
        <v>0</v>
      </c>
      <c r="P23" s="5">
        <f t="shared" si="11"/>
        <v>0</v>
      </c>
    </row>
    <row r="24" spans="1:16" ht="75" x14ac:dyDescent="0.25">
      <c r="B24" s="17" t="s">
        <v>17</v>
      </c>
      <c r="C24">
        <f>Respuestas!C15</f>
        <v>50</v>
      </c>
      <c r="D24" s="18">
        <f t="shared" si="12"/>
        <v>29.33</v>
      </c>
      <c r="E24" s="19" t="str">
        <f>_xlfn.CONCAT(L18," (",ROUND(L24,2),")",CHAR(10),M18," (",ROUND(M24,2),")",CHAR(10),CHAR(10),O18," (",ROUND(O24,2),")",CHAR(10),P18," (",ROUND(P24,2),")")</f>
        <v>Publicar libro (15,38)
Papel (7,69)
Beneficio (2,4)
Aumentar lectores (3,85)</v>
      </c>
      <c r="F24"/>
      <c r="G24" s="4" t="s">
        <v>17</v>
      </c>
      <c r="H24">
        <f t="shared" si="3"/>
        <v>0</v>
      </c>
      <c r="I24" s="5">
        <f t="shared" si="4"/>
        <v>0</v>
      </c>
      <c r="J24" s="5">
        <f t="shared" si="5"/>
        <v>0</v>
      </c>
      <c r="K24">
        <f t="shared" si="6"/>
        <v>0</v>
      </c>
      <c r="L24" s="5">
        <f t="shared" si="7"/>
        <v>15.384615384615385</v>
      </c>
      <c r="M24" s="5">
        <f t="shared" si="8"/>
        <v>7.6923076923076925</v>
      </c>
      <c r="N24" s="5">
        <f t="shared" si="9"/>
        <v>0</v>
      </c>
      <c r="O24" s="5">
        <f t="shared" si="10"/>
        <v>2.4038461538461537</v>
      </c>
      <c r="P24" s="5">
        <f t="shared" si="11"/>
        <v>3.8461538461538463</v>
      </c>
    </row>
    <row r="25" spans="1:16" ht="75" x14ac:dyDescent="0.25">
      <c r="B25" s="17" t="s">
        <v>18</v>
      </c>
      <c r="C25">
        <f>Respuestas!C16</f>
        <v>50</v>
      </c>
      <c r="D25" s="18">
        <f t="shared" si="12"/>
        <v>36.06</v>
      </c>
      <c r="E25" s="19" t="str">
        <f>_xlfn.CONCAT(L18," (",ROUND(L25,2),")",CHAR(10),N18," (",ROUND(N25,2),")",CHAR(10),CHAR(10),O18," (",ROUND(O25,2),")",CHAR(10),P18," (",ROUND(P25,2),")")</f>
        <v>Publicar libro (15,38)
Kindle (7,69)
Beneficio (1,44)
Aumentar lectores (11,54)</v>
      </c>
      <c r="F25"/>
      <c r="G25" s="4" t="s">
        <v>18</v>
      </c>
      <c r="H25">
        <f t="shared" si="3"/>
        <v>0</v>
      </c>
      <c r="I25" s="5">
        <f t="shared" si="4"/>
        <v>0</v>
      </c>
      <c r="J25" s="5">
        <f t="shared" si="5"/>
        <v>0</v>
      </c>
      <c r="K25">
        <f t="shared" si="6"/>
        <v>0</v>
      </c>
      <c r="L25" s="5">
        <f t="shared" si="7"/>
        <v>15.384615384615385</v>
      </c>
      <c r="M25" s="5">
        <f t="shared" si="8"/>
        <v>0</v>
      </c>
      <c r="N25" s="5">
        <f t="shared" si="9"/>
        <v>7.6923076923076925</v>
      </c>
      <c r="O25" s="5">
        <f t="shared" si="10"/>
        <v>1.4423076923076923</v>
      </c>
      <c r="P25" s="5">
        <f t="shared" si="11"/>
        <v>11.538461538461538</v>
      </c>
    </row>
    <row r="26" spans="1:16" x14ac:dyDescent="0.25">
      <c r="B26" s="17" t="s">
        <v>22</v>
      </c>
      <c r="C26">
        <f>Respuestas!C17</f>
        <v>25</v>
      </c>
      <c r="D26" s="18">
        <f t="shared" si="12"/>
        <v>3.85</v>
      </c>
      <c r="E26" s="19" t="str">
        <f>_xlfn.CONCAT(O18," (",ROUND(O26,2),")")</f>
        <v>Beneficio (3,85)</v>
      </c>
      <c r="F26"/>
      <c r="G26" s="4" t="s">
        <v>22</v>
      </c>
      <c r="H26">
        <f t="shared" si="3"/>
        <v>0</v>
      </c>
      <c r="I26" s="5">
        <f t="shared" si="4"/>
        <v>0</v>
      </c>
      <c r="J26" s="5">
        <f t="shared" si="5"/>
        <v>0</v>
      </c>
      <c r="K26">
        <f t="shared" si="6"/>
        <v>0</v>
      </c>
      <c r="L26" s="5">
        <f t="shared" si="7"/>
        <v>0</v>
      </c>
      <c r="M26" s="5">
        <f t="shared" si="8"/>
        <v>0</v>
      </c>
      <c r="N26" s="5">
        <f t="shared" si="9"/>
        <v>0</v>
      </c>
      <c r="O26" s="5">
        <f t="shared" si="10"/>
        <v>3.8461538461538463</v>
      </c>
      <c r="P26" s="5">
        <f t="shared" si="11"/>
        <v>0</v>
      </c>
    </row>
    <row r="27" spans="1:16" x14ac:dyDescent="0.25">
      <c r="B27" s="17" t="s">
        <v>23</v>
      </c>
      <c r="C27">
        <f>Respuestas!C18</f>
        <v>100</v>
      </c>
      <c r="D27" s="18">
        <f t="shared" si="12"/>
        <v>15.38</v>
      </c>
      <c r="E27" s="19" t="str">
        <f>_xlfn.CONCAT(P18," (",ROUND(P27,2),")")</f>
        <v>Aumentar lectores (15,38)</v>
      </c>
      <c r="F27"/>
      <c r="G27" s="4" t="s">
        <v>23</v>
      </c>
      <c r="H27">
        <f t="shared" si="3"/>
        <v>0</v>
      </c>
      <c r="I27" s="5">
        <f t="shared" si="4"/>
        <v>0</v>
      </c>
      <c r="J27" s="5">
        <f t="shared" si="5"/>
        <v>0</v>
      </c>
      <c r="K27">
        <f t="shared" si="6"/>
        <v>0</v>
      </c>
      <c r="L27" s="5">
        <f t="shared" si="7"/>
        <v>0</v>
      </c>
      <c r="M27" s="5">
        <f t="shared" si="8"/>
        <v>0</v>
      </c>
      <c r="N27" s="5">
        <f t="shared" si="9"/>
        <v>0</v>
      </c>
      <c r="O27" s="5">
        <f t="shared" si="10"/>
        <v>0</v>
      </c>
      <c r="P27" s="5">
        <f t="shared" si="11"/>
        <v>15.384615384615385</v>
      </c>
    </row>
    <row r="29" spans="1:16" x14ac:dyDescent="0.25">
      <c r="F29" s="12"/>
      <c r="G29" s="12"/>
      <c r="H29" s="12"/>
      <c r="I29" s="12"/>
      <c r="J29" s="13"/>
    </row>
    <row r="30" spans="1:16" x14ac:dyDescent="0.25">
      <c r="F30" s="12"/>
      <c r="G30" s="12"/>
      <c r="H30" s="12"/>
      <c r="I30" s="12"/>
      <c r="J30" s="13"/>
    </row>
    <row r="31" spans="1:16" x14ac:dyDescent="0.25">
      <c r="F31" s="12"/>
      <c r="G31" s="12"/>
      <c r="H31" s="12"/>
      <c r="I31" s="12"/>
      <c r="J31" s="13"/>
    </row>
    <row r="32" spans="1:16" x14ac:dyDescent="0.25">
      <c r="F32" s="12"/>
      <c r="G32" s="12"/>
      <c r="H32" s="12"/>
      <c r="I32" s="12"/>
      <c r="J32" s="13"/>
    </row>
    <row r="33" spans="6:10" x14ac:dyDescent="0.25">
      <c r="F33" s="12"/>
      <c r="G33" s="12"/>
      <c r="H33" s="12"/>
      <c r="I33" s="12"/>
      <c r="J33" s="13"/>
    </row>
    <row r="34" spans="6:10" x14ac:dyDescent="0.25">
      <c r="F34" s="12"/>
      <c r="G34" s="12"/>
      <c r="H34" s="12"/>
      <c r="I34" s="12"/>
      <c r="J34" s="13"/>
    </row>
    <row r="35" spans="6:10" x14ac:dyDescent="0.25">
      <c r="F35" s="12"/>
      <c r="G35" s="12"/>
      <c r="H35" s="12"/>
      <c r="I35" s="12"/>
      <c r="J35" s="13"/>
    </row>
    <row r="36" spans="6:10" x14ac:dyDescent="0.25">
      <c r="F36" s="12"/>
      <c r="G36" s="12"/>
      <c r="H36" s="12"/>
      <c r="I36" s="12"/>
      <c r="J36" s="13"/>
    </row>
    <row r="37" spans="6:10" x14ac:dyDescent="0.25">
      <c r="F37" s="12"/>
      <c r="G37" s="12"/>
      <c r="H37" s="12"/>
      <c r="I37" s="12"/>
      <c r="J37" s="13"/>
    </row>
    <row r="59" spans="13:23" x14ac:dyDescent="0.25">
      <c r="M59" s="5"/>
      <c r="N59" s="5"/>
      <c r="P59" s="5"/>
      <c r="Q59" s="5"/>
      <c r="R59" s="5"/>
      <c r="S59" s="5"/>
      <c r="T59" s="5"/>
      <c r="U59" s="5"/>
      <c r="V59" s="5"/>
      <c r="W59" s="5"/>
    </row>
    <row r="69" spans="1:11" x14ac:dyDescent="0.25">
      <c r="A69">
        <v>1</v>
      </c>
      <c r="B69">
        <v>2</v>
      </c>
      <c r="C69">
        <v>3</v>
      </c>
      <c r="D69">
        <v>4</v>
      </c>
      <c r="E69">
        <v>5</v>
      </c>
      <c r="F69">
        <v>6</v>
      </c>
      <c r="G69">
        <v>7</v>
      </c>
      <c r="H69">
        <v>8</v>
      </c>
      <c r="I69">
        <v>9</v>
      </c>
      <c r="J69">
        <v>10</v>
      </c>
      <c r="K69">
        <v>11</v>
      </c>
    </row>
  </sheetData>
  <mergeCells count="2">
    <mergeCell ref="C1:F1"/>
    <mergeCell ref="G1:K1"/>
  </mergeCells>
  <conditionalFormatting sqref="I20:J27 J19 H19 L19:P27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D5EB-6D45-483A-9568-AE9153916497}">
  <sheetPr codeName="Hoja4"/>
  <dimension ref="A1:F13"/>
  <sheetViews>
    <sheetView workbookViewId="0">
      <selection activeCell="H4" sqref="H4"/>
    </sheetView>
  </sheetViews>
  <sheetFormatPr baseColWidth="10" defaultRowHeight="15" x14ac:dyDescent="0.25"/>
  <cols>
    <col min="2" max="2" width="20.140625" bestFit="1" customWidth="1"/>
    <col min="5" max="5" width="15.42578125" bestFit="1" customWidth="1"/>
  </cols>
  <sheetData>
    <row r="1" spans="1:6" ht="45" x14ac:dyDescent="0.25">
      <c r="A1" s="21" t="s">
        <v>0</v>
      </c>
      <c r="B1" s="21" t="s">
        <v>40</v>
      </c>
      <c r="C1" s="21" t="s">
        <v>41</v>
      </c>
      <c r="D1" s="22" t="s">
        <v>42</v>
      </c>
      <c r="E1" s="23" t="s">
        <v>43</v>
      </c>
      <c r="F1" s="22"/>
    </row>
    <row r="2" spans="1:6" x14ac:dyDescent="0.25">
      <c r="A2" s="33" t="s">
        <v>20</v>
      </c>
      <c r="B2" s="27" t="str" cm="1">
        <f t="array" ref="B2:E5">_xlfn._xlws.SORT(Propagacion!B19:E22,4,-1)</f>
        <v>Papel</v>
      </c>
      <c r="C2" s="24">
        <v>50</v>
      </c>
      <c r="D2" s="25">
        <v>33.75</v>
      </c>
      <c r="E2" s="28" t="str">
        <v>Leer libros (20)
Papel (10)
Bajo coste (3,75)</v>
      </c>
      <c r="F2" s="26" t="s">
        <v>15</v>
      </c>
    </row>
    <row r="3" spans="1:6" x14ac:dyDescent="0.25">
      <c r="A3" s="33"/>
      <c r="B3" s="27" t="str">
        <v>Leer libros</v>
      </c>
      <c r="C3" s="24">
        <v>100</v>
      </c>
      <c r="D3" s="25">
        <v>36.25</v>
      </c>
      <c r="E3" s="28" t="str">
        <v>Leer libros (20)
Kindle (5)
Bajo coste (11,25)</v>
      </c>
      <c r="F3" s="26" t="s">
        <v>15</v>
      </c>
    </row>
    <row r="4" spans="1:6" x14ac:dyDescent="0.25">
      <c r="A4" s="33"/>
      <c r="B4" s="27" t="str">
        <v>Kindle</v>
      </c>
      <c r="C4" s="24">
        <v>25</v>
      </c>
      <c r="D4" s="25">
        <v>36.25</v>
      </c>
      <c r="E4" s="28" t="str">
        <v>Leer libros (20)
Kindle (5)
Bajo coste (11,25)</v>
      </c>
      <c r="F4" s="26" t="s">
        <v>15</v>
      </c>
    </row>
    <row r="5" spans="1:6" x14ac:dyDescent="0.25">
      <c r="A5" s="33"/>
      <c r="B5" s="27" t="str">
        <v>Bajo coste</v>
      </c>
      <c r="C5" s="24">
        <v>75</v>
      </c>
      <c r="D5" s="25">
        <v>15</v>
      </c>
      <c r="E5" s="28" t="str">
        <v>Bajo coste (15)</v>
      </c>
      <c r="F5" s="26" t="s">
        <v>15</v>
      </c>
    </row>
    <row r="6" spans="1:6" x14ac:dyDescent="0.25">
      <c r="E6" s="28"/>
    </row>
    <row r="7" spans="1:6" x14ac:dyDescent="0.25">
      <c r="E7" s="28"/>
    </row>
    <row r="8" spans="1:6" ht="30" x14ac:dyDescent="0.25">
      <c r="A8" s="21" t="s">
        <v>0</v>
      </c>
      <c r="B8" s="21" t="s">
        <v>40</v>
      </c>
      <c r="C8" s="21" t="s">
        <v>41</v>
      </c>
      <c r="D8" s="22" t="s">
        <v>42</v>
      </c>
      <c r="E8" s="29" t="s">
        <v>43</v>
      </c>
      <c r="F8" s="22"/>
    </row>
    <row r="9" spans="1:6" x14ac:dyDescent="0.25">
      <c r="A9" s="33" t="s">
        <v>24</v>
      </c>
      <c r="B9" s="27" t="str" cm="1">
        <f t="array" ref="B9:E13">_xlfn._xlws.SORT(Propagacion!B23:E27,4,-1)</f>
        <v>Papel</v>
      </c>
      <c r="C9" s="24">
        <v>50</v>
      </c>
      <c r="D9" s="25">
        <v>29.33</v>
      </c>
      <c r="E9" s="28" t="str">
        <v>Publicar libro (15,38)
Papel (7,69)
Beneficio (2,4)
Aumentar lectores (3,85)</v>
      </c>
      <c r="F9" s="26" t="s">
        <v>15</v>
      </c>
    </row>
    <row r="10" spans="1:6" x14ac:dyDescent="0.25">
      <c r="A10" s="33"/>
      <c r="B10" s="27" t="str">
        <v>Publicar libro</v>
      </c>
      <c r="C10" s="24">
        <v>100</v>
      </c>
      <c r="D10" s="25">
        <v>36.06</v>
      </c>
      <c r="E10" s="28" t="str">
        <v>Publicar libro (15,38)
Kindle (7,69)
Beneficio (1,44)
Aumentar lectores (11,54)</v>
      </c>
      <c r="F10" s="26" t="s">
        <v>15</v>
      </c>
    </row>
    <row r="11" spans="1:6" x14ac:dyDescent="0.25">
      <c r="A11" s="33"/>
      <c r="B11" s="27" t="str">
        <v>Kindle</v>
      </c>
      <c r="C11" s="24">
        <v>50</v>
      </c>
      <c r="D11" s="25">
        <v>36.06</v>
      </c>
      <c r="E11" s="28" t="str">
        <v>Publicar libro (15,38)
Kindle (7,69)
Beneficio (1,44)
Aumentar lectores (11,54)</v>
      </c>
      <c r="F11" s="26" t="s">
        <v>15</v>
      </c>
    </row>
    <row r="12" spans="1:6" x14ac:dyDescent="0.25">
      <c r="A12" s="33"/>
      <c r="B12" s="27" t="str">
        <v>Beneficio</v>
      </c>
      <c r="C12" s="24">
        <v>25</v>
      </c>
      <c r="D12" s="25">
        <v>3.85</v>
      </c>
      <c r="E12" s="28" t="str">
        <v>Beneficio (3,85)</v>
      </c>
      <c r="F12" s="26" t="s">
        <v>15</v>
      </c>
    </row>
    <row r="13" spans="1:6" x14ac:dyDescent="0.25">
      <c r="A13" s="33"/>
      <c r="B13" s="27" t="str">
        <v>Aumentar lectores</v>
      </c>
      <c r="C13" s="24">
        <v>100</v>
      </c>
      <c r="D13" s="25">
        <v>15.38</v>
      </c>
      <c r="E13" s="28" t="str">
        <v>Aumentar lectores (15,38)</v>
      </c>
      <c r="F13" s="26" t="s">
        <v>15</v>
      </c>
    </row>
  </sheetData>
  <mergeCells count="2">
    <mergeCell ref="A2:A5"/>
    <mergeCell ref="A9:A13"/>
  </mergeCells>
  <dataValidations count="1">
    <dataValidation type="list" allowBlank="1" showInputMessage="1" showErrorMessage="1" sqref="F2:F5 F9:F13" xr:uid="{4470B051-CBFB-47C9-A969-35E299D8DC13}">
      <formula1>Evaluar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Acciones a realizar</vt:lpstr>
      <vt:lpstr>Respuestas</vt:lpstr>
      <vt:lpstr>Propagacion</vt:lpstr>
      <vt:lpstr>Evaluacion</vt:lpstr>
      <vt:lpstr>certeza</vt:lpstr>
      <vt:lpstr>Evaluar</vt:lpstr>
      <vt:lpstr>Importancias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Khanx Kenovis</dc:creator>
  <cp:lastModifiedBy>Khanx Kenovis</cp:lastModifiedBy>
  <dcterms:created xsi:type="dcterms:W3CDTF">2015-06-05T18:19:34Z</dcterms:created>
  <dcterms:modified xsi:type="dcterms:W3CDTF">2021-10-06T18:36:48Z</dcterms:modified>
</cp:coreProperties>
</file>