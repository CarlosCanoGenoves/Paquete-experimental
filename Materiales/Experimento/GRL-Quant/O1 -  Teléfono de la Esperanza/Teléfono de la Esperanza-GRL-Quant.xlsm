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ov\Desktop\Experimento ISE\O1 -  Teléfono de la Esperanza\GRL-Quant\"/>
    </mc:Choice>
  </mc:AlternateContent>
  <xr:revisionPtr revIDLastSave="0" documentId="13_ncr:1_{BC27DB7E-88E2-4F0D-B89C-F4EE930337A0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Acciones a realizar" sheetId="1" r:id="rId1"/>
    <sheet name="Respuestas" sheetId="3" r:id="rId2"/>
    <sheet name="Propagacion" sheetId="4" r:id="rId3"/>
    <sheet name="Evaluacion" sheetId="5" r:id="rId4"/>
  </sheets>
  <definedNames>
    <definedName name="certeza">Respuestas!$F$1:$F$5</definedName>
    <definedName name="Evaluar">Respuestas!$G$1:$G$5</definedName>
    <definedName name="Importancias">Respuestas!$E$1:$E$5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0" i="3" l="1"/>
  <c r="E31" i="3"/>
  <c r="E32" i="3"/>
  <c r="E33" i="3"/>
  <c r="E34" i="3"/>
  <c r="B28" i="5"/>
  <c r="B29" i="5"/>
  <c r="B30" i="5"/>
  <c r="B31" i="5"/>
  <c r="B32" i="5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10" i="3"/>
  <c r="B3" i="5"/>
  <c r="B4" i="5"/>
  <c r="B5" i="5"/>
  <c r="B6" i="5"/>
  <c r="B7" i="5"/>
  <c r="B8" i="5"/>
  <c r="B12" i="5"/>
  <c r="B13" i="5"/>
  <c r="B14" i="5"/>
  <c r="B15" i="5"/>
  <c r="B16" i="5"/>
  <c r="B17" i="5"/>
  <c r="B18" i="5"/>
  <c r="B19" i="5"/>
  <c r="B23" i="5"/>
  <c r="B24" i="5"/>
  <c r="B25" i="5"/>
  <c r="B26" i="5"/>
  <c r="B27" i="5"/>
  <c r="B2" i="5"/>
  <c r="Y20" i="4" l="1"/>
  <c r="Y21" i="4"/>
  <c r="Y19" i="4"/>
  <c r="C46" i="4"/>
  <c r="C12" i="5" s="1"/>
  <c r="E8" i="3"/>
  <c r="C40" i="4"/>
  <c r="C3" i="5" s="1"/>
  <c r="C41" i="4"/>
  <c r="C4" i="5" s="1"/>
  <c r="C42" i="4"/>
  <c r="C5" i="5" s="1"/>
  <c r="C43" i="4"/>
  <c r="C6" i="5" s="1"/>
  <c r="C44" i="4"/>
  <c r="C7" i="5" s="1"/>
  <c r="C45" i="4"/>
  <c r="C8" i="5" s="1"/>
  <c r="C47" i="4"/>
  <c r="C13" i="5" s="1"/>
  <c r="C48" i="4"/>
  <c r="C14" i="5" s="1"/>
  <c r="C49" i="4"/>
  <c r="C15" i="5" s="1"/>
  <c r="C50" i="4"/>
  <c r="C16" i="5" s="1"/>
  <c r="C51" i="4"/>
  <c r="C17" i="5" s="1"/>
  <c r="C52" i="4"/>
  <c r="C18" i="5" s="1"/>
  <c r="C53" i="4"/>
  <c r="C19" i="5" s="1"/>
  <c r="C54" i="4"/>
  <c r="C23" i="5" s="1"/>
  <c r="C55" i="4"/>
  <c r="C24" i="5" s="1"/>
  <c r="C56" i="4"/>
  <c r="C25" i="5" s="1"/>
  <c r="C57" i="4"/>
  <c r="C26" i="5" s="1"/>
  <c r="C58" i="4"/>
  <c r="C27" i="5" s="1"/>
  <c r="C59" i="4"/>
  <c r="C28" i="5" s="1"/>
  <c r="C60" i="4"/>
  <c r="C29" i="5" s="1"/>
  <c r="C61" i="4"/>
  <c r="C30" i="5" s="1"/>
  <c r="C62" i="4"/>
  <c r="C31" i="5" s="1"/>
  <c r="C63" i="4"/>
  <c r="C32" i="5" s="1"/>
  <c r="C39" i="4"/>
  <c r="C2" i="5" s="1"/>
  <c r="AF4" i="4" l="1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3" i="4"/>
  <c r="D28" i="4" l="1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C28" i="4"/>
  <c r="B31" i="4" l="1"/>
  <c r="Y41" i="4" s="1"/>
  <c r="B30" i="4"/>
  <c r="B29" i="4"/>
  <c r="J55" i="4" s="1"/>
  <c r="Y46" i="4" l="1"/>
  <c r="Y44" i="4"/>
  <c r="Y57" i="4"/>
  <c r="Y42" i="4"/>
  <c r="Y56" i="4"/>
  <c r="Y39" i="4"/>
  <c r="Y40" i="4"/>
  <c r="Y49" i="4"/>
  <c r="Y60" i="4"/>
  <c r="Y43" i="4"/>
  <c r="Y51" i="4"/>
  <c r="Y59" i="4"/>
  <c r="Y50" i="4"/>
  <c r="Y62" i="4"/>
  <c r="Y45" i="4"/>
  <c r="Y53" i="4"/>
  <c r="Y61" i="4"/>
  <c r="Y52" i="4"/>
  <c r="AD8" i="4"/>
  <c r="AE63" i="4"/>
  <c r="AA63" i="4"/>
  <c r="AG62" i="4"/>
  <c r="AC62" i="4"/>
  <c r="AA61" i="4"/>
  <c r="AC60" i="4"/>
  <c r="AE59" i="4"/>
  <c r="AA59" i="4"/>
  <c r="AG58" i="4"/>
  <c r="AC58" i="4"/>
  <c r="AG56" i="4"/>
  <c r="AA55" i="4"/>
  <c r="AG52" i="4"/>
  <c r="AG50" i="4"/>
  <c r="AG48" i="4"/>
  <c r="AG46" i="4"/>
  <c r="AG44" i="4"/>
  <c r="AC42" i="4"/>
  <c r="AH63" i="4"/>
  <c r="AD63" i="4"/>
  <c r="Z63" i="4"/>
  <c r="AF62" i="4"/>
  <c r="AB62" i="4"/>
  <c r="AH61" i="4"/>
  <c r="AD61" i="4"/>
  <c r="Z61" i="4"/>
  <c r="AF60" i="4"/>
  <c r="AB60" i="4"/>
  <c r="AH59" i="4"/>
  <c r="AD59" i="4"/>
  <c r="E59" i="4" s="1"/>
  <c r="E28" i="5" s="1"/>
  <c r="Z59" i="4"/>
  <c r="AF58" i="4"/>
  <c r="AB58" i="4"/>
  <c r="AH57" i="4"/>
  <c r="AD57" i="4"/>
  <c r="Z57" i="4"/>
  <c r="AF56" i="4"/>
  <c r="AB56" i="4"/>
  <c r="AH55" i="4"/>
  <c r="AD55" i="4"/>
  <c r="Z55" i="4"/>
  <c r="AF54" i="4"/>
  <c r="AB54" i="4"/>
  <c r="AH53" i="4"/>
  <c r="AD53" i="4"/>
  <c r="Z53" i="4"/>
  <c r="AF52" i="4"/>
  <c r="AB52" i="4"/>
  <c r="AH51" i="4"/>
  <c r="AD51" i="4"/>
  <c r="Z51" i="4"/>
  <c r="AF50" i="4"/>
  <c r="AB50" i="4"/>
  <c r="AH49" i="4"/>
  <c r="AD49" i="4"/>
  <c r="Z49" i="4"/>
  <c r="AF48" i="4"/>
  <c r="AB48" i="4"/>
  <c r="AH47" i="4"/>
  <c r="AD47" i="4"/>
  <c r="Z47" i="4"/>
  <c r="AF46" i="4"/>
  <c r="AB46" i="4"/>
  <c r="AH45" i="4"/>
  <c r="AD45" i="4"/>
  <c r="Z45" i="4"/>
  <c r="AF44" i="4"/>
  <c r="AB44" i="4"/>
  <c r="AH43" i="4"/>
  <c r="AD43" i="4"/>
  <c r="Z43" i="4"/>
  <c r="AF42" i="4"/>
  <c r="AB42" i="4"/>
  <c r="AH41" i="4"/>
  <c r="AD41" i="4"/>
  <c r="Z41" i="4"/>
  <c r="AF40" i="4"/>
  <c r="AB40" i="4"/>
  <c r="AH39" i="4"/>
  <c r="AD39" i="4"/>
  <c r="Z39" i="4"/>
  <c r="AA44" i="4"/>
  <c r="AC43" i="4"/>
  <c r="AE42" i="4"/>
  <c r="AG41" i="4"/>
  <c r="AE40" i="4"/>
  <c r="AG39" i="4"/>
  <c r="AC39" i="4"/>
  <c r="Z40" i="4"/>
  <c r="AB39" i="4"/>
  <c r="AE47" i="4"/>
  <c r="AC46" i="4"/>
  <c r="AA45" i="4"/>
  <c r="AE43" i="4"/>
  <c r="AG40" i="4"/>
  <c r="AG63" i="4"/>
  <c r="AC63" i="4"/>
  <c r="AE62" i="4"/>
  <c r="AA62" i="4"/>
  <c r="AG61" i="4"/>
  <c r="AC61" i="4"/>
  <c r="AE60" i="4"/>
  <c r="AA60" i="4"/>
  <c r="AG59" i="4"/>
  <c r="AC59" i="4"/>
  <c r="AE58" i="4"/>
  <c r="AA58" i="4"/>
  <c r="AG57" i="4"/>
  <c r="AC57" i="4"/>
  <c r="AE56" i="4"/>
  <c r="AA56" i="4"/>
  <c r="AG55" i="4"/>
  <c r="AC55" i="4"/>
  <c r="AE54" i="4"/>
  <c r="AA54" i="4"/>
  <c r="AG53" i="4"/>
  <c r="AC53" i="4"/>
  <c r="AE52" i="4"/>
  <c r="AA52" i="4"/>
  <c r="AG51" i="4"/>
  <c r="AC51" i="4"/>
  <c r="AE50" i="4"/>
  <c r="AA50" i="4"/>
  <c r="AG49" i="4"/>
  <c r="AC49" i="4"/>
  <c r="AE48" i="4"/>
  <c r="AA48" i="4"/>
  <c r="AG47" i="4"/>
  <c r="AC47" i="4"/>
  <c r="AE46" i="4"/>
  <c r="AA46" i="4"/>
  <c r="AG45" i="4"/>
  <c r="AC45" i="4"/>
  <c r="AE44" i="4"/>
  <c r="AG43" i="4"/>
  <c r="AA42" i="4"/>
  <c r="AC41" i="4"/>
  <c r="AA40" i="4"/>
  <c r="AE61" i="4"/>
  <c r="AA57" i="4"/>
  <c r="AE55" i="4"/>
  <c r="AC54" i="4"/>
  <c r="AA53" i="4"/>
  <c r="AE51" i="4"/>
  <c r="AE49" i="4"/>
  <c r="AE45" i="4"/>
  <c r="AG42" i="4"/>
  <c r="AA41" i="4"/>
  <c r="AF63" i="4"/>
  <c r="AB63" i="4"/>
  <c r="AH62" i="4"/>
  <c r="AD62" i="4"/>
  <c r="Z62" i="4"/>
  <c r="AF61" i="4"/>
  <c r="E61" i="4" s="1"/>
  <c r="E30" i="5" s="1"/>
  <c r="AB61" i="4"/>
  <c r="AH60" i="4"/>
  <c r="AD60" i="4"/>
  <c r="Z60" i="4"/>
  <c r="AF59" i="4"/>
  <c r="AB59" i="4"/>
  <c r="AH58" i="4"/>
  <c r="AD58" i="4"/>
  <c r="Z58" i="4"/>
  <c r="AF57" i="4"/>
  <c r="AB57" i="4"/>
  <c r="AH56" i="4"/>
  <c r="AD56" i="4"/>
  <c r="Z56" i="4"/>
  <c r="AF55" i="4"/>
  <c r="AB55" i="4"/>
  <c r="AH54" i="4"/>
  <c r="AD54" i="4"/>
  <c r="Z54" i="4"/>
  <c r="AF53" i="4"/>
  <c r="AB53" i="4"/>
  <c r="AH52" i="4"/>
  <c r="AD52" i="4"/>
  <c r="Z52" i="4"/>
  <c r="AF51" i="4"/>
  <c r="AB51" i="4"/>
  <c r="AH50" i="4"/>
  <c r="AD50" i="4"/>
  <c r="Z50" i="4"/>
  <c r="AF49" i="4"/>
  <c r="AB49" i="4"/>
  <c r="AH48" i="4"/>
  <c r="AD48" i="4"/>
  <c r="Z48" i="4"/>
  <c r="AF47" i="4"/>
  <c r="AB47" i="4"/>
  <c r="AH46" i="4"/>
  <c r="AD46" i="4"/>
  <c r="Z46" i="4"/>
  <c r="AF45" i="4"/>
  <c r="AB45" i="4"/>
  <c r="AH44" i="4"/>
  <c r="AD44" i="4"/>
  <c r="Z44" i="4"/>
  <c r="AF43" i="4"/>
  <c r="AB43" i="4"/>
  <c r="AH42" i="4"/>
  <c r="AD42" i="4"/>
  <c r="Z42" i="4"/>
  <c r="AF41" i="4"/>
  <c r="AB41" i="4"/>
  <c r="AH40" i="4"/>
  <c r="AD40" i="4"/>
  <c r="AF39" i="4"/>
  <c r="AG60" i="4"/>
  <c r="AE57" i="4"/>
  <c r="AC56" i="4"/>
  <c r="AG54" i="4"/>
  <c r="AE53" i="4"/>
  <c r="AC52" i="4"/>
  <c r="AA51" i="4"/>
  <c r="AC50" i="4"/>
  <c r="AA49" i="4"/>
  <c r="AC48" i="4"/>
  <c r="AA47" i="4"/>
  <c r="AC44" i="4"/>
  <c r="AA43" i="4"/>
  <c r="AE41" i="4"/>
  <c r="AC40" i="4"/>
  <c r="AE39" i="4"/>
  <c r="AA39" i="4"/>
  <c r="Y48" i="4"/>
  <c r="Y47" i="4"/>
  <c r="Y55" i="4"/>
  <c r="Y63" i="4"/>
  <c r="Y54" i="4"/>
  <c r="Y58" i="4"/>
  <c r="AC8" i="4"/>
  <c r="V63" i="4"/>
  <c r="R63" i="4"/>
  <c r="V62" i="4"/>
  <c r="R62" i="4"/>
  <c r="V61" i="4"/>
  <c r="R61" i="4"/>
  <c r="V60" i="4"/>
  <c r="R60" i="4"/>
  <c r="V59" i="4"/>
  <c r="R59" i="4"/>
  <c r="V58" i="4"/>
  <c r="R58" i="4"/>
  <c r="V57" i="4"/>
  <c r="R57" i="4"/>
  <c r="V56" i="4"/>
  <c r="R56" i="4"/>
  <c r="V55" i="4"/>
  <c r="R55" i="4"/>
  <c r="V54" i="4"/>
  <c r="R54" i="4"/>
  <c r="V53" i="4"/>
  <c r="R53" i="4"/>
  <c r="V52" i="4"/>
  <c r="R52" i="4"/>
  <c r="V51" i="4"/>
  <c r="R51" i="4"/>
  <c r="V50" i="4"/>
  <c r="R50" i="4"/>
  <c r="V49" i="4"/>
  <c r="R49" i="4"/>
  <c r="V48" i="4"/>
  <c r="R48" i="4"/>
  <c r="V47" i="4"/>
  <c r="R47" i="4"/>
  <c r="V46" i="4"/>
  <c r="R46" i="4"/>
  <c r="V45" i="4"/>
  <c r="R45" i="4"/>
  <c r="V44" i="4"/>
  <c r="R44" i="4"/>
  <c r="V43" i="4"/>
  <c r="R43" i="4"/>
  <c r="V42" i="4"/>
  <c r="R42" i="4"/>
  <c r="V41" i="4"/>
  <c r="R41" i="4"/>
  <c r="V40" i="4"/>
  <c r="R40" i="4"/>
  <c r="V39" i="4"/>
  <c r="R39" i="4"/>
  <c r="U63" i="4"/>
  <c r="U62" i="4"/>
  <c r="U61" i="4"/>
  <c r="U60" i="4"/>
  <c r="U59" i="4"/>
  <c r="U58" i="4"/>
  <c r="U57" i="4"/>
  <c r="U56" i="4"/>
  <c r="U55" i="4"/>
  <c r="U54" i="4"/>
  <c r="U53" i="4"/>
  <c r="U52" i="4"/>
  <c r="X63" i="4"/>
  <c r="T63" i="4"/>
  <c r="X62" i="4"/>
  <c r="T62" i="4"/>
  <c r="X61" i="4"/>
  <c r="T61" i="4"/>
  <c r="X60" i="4"/>
  <c r="T60" i="4"/>
  <c r="X59" i="4"/>
  <c r="T59" i="4"/>
  <c r="X58" i="4"/>
  <c r="T58" i="4"/>
  <c r="X57" i="4"/>
  <c r="T57" i="4"/>
  <c r="X56" i="4"/>
  <c r="T56" i="4"/>
  <c r="X55" i="4"/>
  <c r="T55" i="4"/>
  <c r="X54" i="4"/>
  <c r="T54" i="4"/>
  <c r="X53" i="4"/>
  <c r="T53" i="4"/>
  <c r="X52" i="4"/>
  <c r="T52" i="4"/>
  <c r="X51" i="4"/>
  <c r="T51" i="4"/>
  <c r="X50" i="4"/>
  <c r="T50" i="4"/>
  <c r="X49" i="4"/>
  <c r="T49" i="4"/>
  <c r="X48" i="4"/>
  <c r="T48" i="4"/>
  <c r="X47" i="4"/>
  <c r="T47" i="4"/>
  <c r="X46" i="4"/>
  <c r="T46" i="4"/>
  <c r="X45" i="4"/>
  <c r="T45" i="4"/>
  <c r="X44" i="4"/>
  <c r="T44" i="4"/>
  <c r="X43" i="4"/>
  <c r="T43" i="4"/>
  <c r="X42" i="4"/>
  <c r="T42" i="4"/>
  <c r="X41" i="4"/>
  <c r="T41" i="4"/>
  <c r="X40" i="4"/>
  <c r="T40" i="4"/>
  <c r="X39" i="4"/>
  <c r="T39" i="4"/>
  <c r="W63" i="4"/>
  <c r="S63" i="4"/>
  <c r="W62" i="4"/>
  <c r="S62" i="4"/>
  <c r="W61" i="4"/>
  <c r="S61" i="4"/>
  <c r="W60" i="4"/>
  <c r="S60" i="4"/>
  <c r="W59" i="4"/>
  <c r="S59" i="4"/>
  <c r="W58" i="4"/>
  <c r="S58" i="4"/>
  <c r="W57" i="4"/>
  <c r="S57" i="4"/>
  <c r="W56" i="4"/>
  <c r="S56" i="4"/>
  <c r="W55" i="4"/>
  <c r="S55" i="4"/>
  <c r="W54" i="4"/>
  <c r="S54" i="4"/>
  <c r="W53" i="4"/>
  <c r="S53" i="4"/>
  <c r="W52" i="4"/>
  <c r="E52" i="4" s="1"/>
  <c r="E18" i="5" s="1"/>
  <c r="S52" i="4"/>
  <c r="W51" i="4"/>
  <c r="S51" i="4"/>
  <c r="W50" i="4"/>
  <c r="S50" i="4"/>
  <c r="W49" i="4"/>
  <c r="S49" i="4"/>
  <c r="W48" i="4"/>
  <c r="W47" i="4"/>
  <c r="W46" i="4"/>
  <c r="W45" i="4"/>
  <c r="W44" i="4"/>
  <c r="W43" i="4"/>
  <c r="W42" i="4"/>
  <c r="W41" i="4"/>
  <c r="W40" i="4"/>
  <c r="W39" i="4"/>
  <c r="U50" i="4"/>
  <c r="U48" i="4"/>
  <c r="U47" i="4"/>
  <c r="U46" i="4"/>
  <c r="U45" i="4"/>
  <c r="U44" i="4"/>
  <c r="U43" i="4"/>
  <c r="U42" i="4"/>
  <c r="U41" i="4"/>
  <c r="U40" i="4"/>
  <c r="U39" i="4"/>
  <c r="S48" i="4"/>
  <c r="S47" i="4"/>
  <c r="S46" i="4"/>
  <c r="S45" i="4"/>
  <c r="S44" i="4"/>
  <c r="S43" i="4"/>
  <c r="S42" i="4"/>
  <c r="S41" i="4"/>
  <c r="S40" i="4"/>
  <c r="S39" i="4"/>
  <c r="U51" i="4"/>
  <c r="U49" i="4"/>
  <c r="Q46" i="4"/>
  <c r="Q61" i="4"/>
  <c r="Q44" i="4"/>
  <c r="Q51" i="4"/>
  <c r="Q56" i="4"/>
  <c r="Q41" i="4"/>
  <c r="Q52" i="4"/>
  <c r="Q47" i="4"/>
  <c r="Q54" i="4"/>
  <c r="Q58" i="4"/>
  <c r="Q62" i="4"/>
  <c r="Q40" i="4"/>
  <c r="Q50" i="4"/>
  <c r="Q60" i="4"/>
  <c r="Q45" i="4"/>
  <c r="Q57" i="4"/>
  <c r="Q42" i="4"/>
  <c r="Q53" i="4"/>
  <c r="Q39" i="4"/>
  <c r="Q43" i="4"/>
  <c r="Q48" i="4"/>
  <c r="Q49" i="4"/>
  <c r="Q55" i="4"/>
  <c r="Q59" i="4"/>
  <c r="Q63" i="4"/>
  <c r="J45" i="4"/>
  <c r="J41" i="4"/>
  <c r="J62" i="4"/>
  <c r="J61" i="4"/>
  <c r="J56" i="4"/>
  <c r="J47" i="4"/>
  <c r="J63" i="4"/>
  <c r="J53" i="4"/>
  <c r="J58" i="4"/>
  <c r="J60" i="4"/>
  <c r="J46" i="4"/>
  <c r="J44" i="4"/>
  <c r="J39" i="4"/>
  <c r="AB21" i="4"/>
  <c r="N63" i="4"/>
  <c r="M62" i="4"/>
  <c r="P61" i="4"/>
  <c r="L61" i="4"/>
  <c r="O60" i="4"/>
  <c r="K60" i="4"/>
  <c r="N59" i="4"/>
  <c r="M58" i="4"/>
  <c r="P57" i="4"/>
  <c r="L57" i="4"/>
  <c r="O56" i="4"/>
  <c r="K56" i="4"/>
  <c r="N55" i="4"/>
  <c r="M54" i="4"/>
  <c r="P53" i="4"/>
  <c r="L53" i="4"/>
  <c r="O52" i="4"/>
  <c r="K52" i="4"/>
  <c r="N51" i="4"/>
  <c r="M50" i="4"/>
  <c r="P49" i="4"/>
  <c r="L49" i="4"/>
  <c r="O48" i="4"/>
  <c r="K48" i="4"/>
  <c r="N47" i="4"/>
  <c r="M46" i="4"/>
  <c r="P45" i="4"/>
  <c r="E45" i="4" s="1"/>
  <c r="E8" i="5" s="1"/>
  <c r="L45" i="4"/>
  <c r="O44" i="4"/>
  <c r="K44" i="4"/>
  <c r="N43" i="4"/>
  <c r="M42" i="4"/>
  <c r="P41" i="4"/>
  <c r="L41" i="4"/>
  <c r="O40" i="4"/>
  <c r="K40" i="4"/>
  <c r="N39" i="4"/>
  <c r="L62" i="4"/>
  <c r="P58" i="4"/>
  <c r="O57" i="4"/>
  <c r="N56" i="4"/>
  <c r="P54" i="4"/>
  <c r="O53" i="4"/>
  <c r="N52" i="4"/>
  <c r="M51" i="4"/>
  <c r="L50" i="4"/>
  <c r="O49" i="4"/>
  <c r="N48" i="4"/>
  <c r="P46" i="4"/>
  <c r="O45" i="4"/>
  <c r="N44" i="4"/>
  <c r="P42" i="4"/>
  <c r="L42" i="4"/>
  <c r="K41" i="4"/>
  <c r="P63" i="4"/>
  <c r="L63" i="4"/>
  <c r="O62" i="4"/>
  <c r="K62" i="4"/>
  <c r="N61" i="4"/>
  <c r="M60" i="4"/>
  <c r="P59" i="4"/>
  <c r="L59" i="4"/>
  <c r="O58" i="4"/>
  <c r="K58" i="4"/>
  <c r="N57" i="4"/>
  <c r="M56" i="4"/>
  <c r="L55" i="4"/>
  <c r="O54" i="4"/>
  <c r="M63" i="4"/>
  <c r="P62" i="4"/>
  <c r="O61" i="4"/>
  <c r="K61" i="4"/>
  <c r="N60" i="4"/>
  <c r="M59" i="4"/>
  <c r="L58" i="4"/>
  <c r="K57" i="4"/>
  <c r="M55" i="4"/>
  <c r="L54" i="4"/>
  <c r="K53" i="4"/>
  <c r="P50" i="4"/>
  <c r="K49" i="4"/>
  <c r="M47" i="4"/>
  <c r="L46" i="4"/>
  <c r="K45" i="4"/>
  <c r="M43" i="4"/>
  <c r="O41" i="4"/>
  <c r="N40" i="4"/>
  <c r="M39" i="4"/>
  <c r="P60" i="4"/>
  <c r="L44" i="4"/>
  <c r="M48" i="4"/>
  <c r="P43" i="4"/>
  <c r="M40" i="4"/>
  <c r="N62" i="4"/>
  <c r="L60" i="4"/>
  <c r="P55" i="4"/>
  <c r="K54" i="4"/>
  <c r="P51" i="4"/>
  <c r="N49" i="4"/>
  <c r="K46" i="4"/>
  <c r="N41" i="4"/>
  <c r="O59" i="4"/>
  <c r="M57" i="4"/>
  <c r="O55" i="4"/>
  <c r="P52" i="4"/>
  <c r="O51" i="4"/>
  <c r="N50" i="4"/>
  <c r="M49" i="4"/>
  <c r="L48" i="4"/>
  <c r="K47" i="4"/>
  <c r="P44" i="4"/>
  <c r="O43" i="4"/>
  <c r="N42" i="4"/>
  <c r="M41" i="4"/>
  <c r="L40" i="4"/>
  <c r="K39" i="4"/>
  <c r="O63" i="4"/>
  <c r="M61" i="4"/>
  <c r="K59" i="4"/>
  <c r="P56" i="4"/>
  <c r="K55" i="4"/>
  <c r="N53" i="4"/>
  <c r="M52" i="4"/>
  <c r="L51" i="4"/>
  <c r="K50" i="4"/>
  <c r="P47" i="4"/>
  <c r="O46" i="4"/>
  <c r="N45" i="4"/>
  <c r="M44" i="4"/>
  <c r="L43" i="4"/>
  <c r="K42" i="4"/>
  <c r="P39" i="4"/>
  <c r="K63" i="4"/>
  <c r="N58" i="4"/>
  <c r="L56" i="4"/>
  <c r="N54" i="4"/>
  <c r="M53" i="4"/>
  <c r="L52" i="4"/>
  <c r="K51" i="4"/>
  <c r="P48" i="4"/>
  <c r="O47" i="4"/>
  <c r="N46" i="4"/>
  <c r="M45" i="4"/>
  <c r="K43" i="4"/>
  <c r="P40" i="4"/>
  <c r="O39" i="4"/>
  <c r="O50" i="4"/>
  <c r="L47" i="4"/>
  <c r="O42" i="4"/>
  <c r="L39" i="4"/>
  <c r="J49" i="4"/>
  <c r="J40" i="4"/>
  <c r="J51" i="4"/>
  <c r="J42" i="4"/>
  <c r="J52" i="4"/>
  <c r="J50" i="4"/>
  <c r="J54" i="4"/>
  <c r="J57" i="4"/>
  <c r="J48" i="4"/>
  <c r="J43" i="4"/>
  <c r="J59" i="4"/>
  <c r="AC21" i="4"/>
  <c r="AD14" i="4"/>
  <c r="AD5" i="4"/>
  <c r="AC7" i="4"/>
  <c r="AC24" i="4"/>
  <c r="AB5" i="4"/>
  <c r="AC4" i="4"/>
  <c r="AC15" i="4"/>
  <c r="AD24" i="4"/>
  <c r="AD21" i="4"/>
  <c r="AB22" i="4"/>
  <c r="AB6" i="4"/>
  <c r="AC22" i="4"/>
  <c r="AD7" i="4"/>
  <c r="AD4" i="4"/>
  <c r="AB16" i="4"/>
  <c r="AC9" i="4"/>
  <c r="AC20" i="4"/>
  <c r="AC27" i="4"/>
  <c r="AC11" i="4"/>
  <c r="AC26" i="4"/>
  <c r="AC17" i="4"/>
  <c r="AD26" i="4"/>
  <c r="AD20" i="4"/>
  <c r="AD27" i="4"/>
  <c r="AD17" i="4"/>
  <c r="AD16" i="4"/>
  <c r="AC25" i="4"/>
  <c r="AC16" i="4"/>
  <c r="AC23" i="4"/>
  <c r="AC6" i="4"/>
  <c r="AC14" i="4"/>
  <c r="AC13" i="4"/>
  <c r="AD13" i="4"/>
  <c r="AD15" i="4"/>
  <c r="AD23" i="4"/>
  <c r="AD6" i="4"/>
  <c r="AD9" i="4"/>
  <c r="AD12" i="4"/>
  <c r="AC12" i="4"/>
  <c r="AC19" i="4"/>
  <c r="AC5" i="4"/>
  <c r="AD11" i="4"/>
  <c r="AD19" i="4"/>
  <c r="AD22" i="4"/>
  <c r="AD25" i="4"/>
  <c r="AB25" i="4"/>
  <c r="AB27" i="4"/>
  <c r="AB26" i="4"/>
  <c r="AB9" i="4"/>
  <c r="AB11" i="4"/>
  <c r="AB14" i="4"/>
  <c r="AB17" i="4"/>
  <c r="AB12" i="4"/>
  <c r="AB23" i="4"/>
  <c r="AB7" i="4"/>
  <c r="AB13" i="4"/>
  <c r="AB24" i="4"/>
  <c r="AB8" i="4"/>
  <c r="AB19" i="4"/>
  <c r="AB20" i="4"/>
  <c r="AB4" i="4"/>
  <c r="AB15" i="4"/>
  <c r="W20" i="4"/>
  <c r="W21" i="4"/>
  <c r="W19" i="4"/>
  <c r="Z20" i="4"/>
  <c r="AA20" i="4" s="1"/>
  <c r="Z21" i="4"/>
  <c r="AA21" i="4" s="1"/>
  <c r="Z19" i="4"/>
  <c r="AA19" i="4" s="1"/>
  <c r="P15" i="4"/>
  <c r="E60" i="4" l="1"/>
  <c r="E29" i="5" s="1"/>
  <c r="E63" i="4"/>
  <c r="E32" i="5" s="1"/>
  <c r="E62" i="4"/>
  <c r="E31" i="5" s="1"/>
  <c r="E57" i="4"/>
  <c r="E26" i="5" s="1"/>
  <c r="E55" i="4"/>
  <c r="E24" i="5" s="1"/>
  <c r="E56" i="4"/>
  <c r="E25" i="5" s="1"/>
  <c r="E58" i="4"/>
  <c r="E27" i="5" s="1"/>
  <c r="E50" i="4"/>
  <c r="E16" i="5" s="1"/>
  <c r="E53" i="4"/>
  <c r="E19" i="5" s="1"/>
  <c r="AE24" i="4"/>
  <c r="E48" i="4"/>
  <c r="E14" i="5" s="1"/>
  <c r="E49" i="4"/>
  <c r="E15" i="5" s="1"/>
  <c r="E51" i="4"/>
  <c r="E17" i="5" s="1"/>
  <c r="E47" i="4"/>
  <c r="E13" i="5" s="1"/>
  <c r="AE8" i="4"/>
  <c r="AE9" i="4"/>
  <c r="AE13" i="4"/>
  <c r="AD3" i="4"/>
  <c r="AE21" i="4"/>
  <c r="AE7" i="4"/>
  <c r="AE14" i="4"/>
  <c r="AD18" i="4"/>
  <c r="AE19" i="4"/>
  <c r="AE15" i="4"/>
  <c r="AE23" i="4"/>
  <c r="AE11" i="4"/>
  <c r="AE25" i="4"/>
  <c r="AE22" i="4"/>
  <c r="AC3" i="4"/>
  <c r="AE20" i="4"/>
  <c r="AE17" i="4"/>
  <c r="AC18" i="4"/>
  <c r="E43" i="4"/>
  <c r="E6" i="5" s="1"/>
  <c r="D55" i="4"/>
  <c r="D48" i="4"/>
  <c r="D14" i="5" s="1"/>
  <c r="D52" i="4"/>
  <c r="D18" i="5" s="1"/>
  <c r="D49" i="4"/>
  <c r="D15" i="5" s="1"/>
  <c r="D59" i="4"/>
  <c r="D28" i="5" s="1"/>
  <c r="D51" i="4"/>
  <c r="D17" i="5" s="1"/>
  <c r="E44" i="4"/>
  <c r="E7" i="5" s="1"/>
  <c r="D63" i="4"/>
  <c r="D32" i="5" s="1"/>
  <c r="D62" i="4"/>
  <c r="D31" i="5" s="1"/>
  <c r="D43" i="4"/>
  <c r="D6" i="5" s="1"/>
  <c r="D50" i="4"/>
  <c r="D16" i="5" s="1"/>
  <c r="D40" i="4"/>
  <c r="E40" i="4"/>
  <c r="E3" i="5" s="1"/>
  <c r="E42" i="4"/>
  <c r="E5" i="5" s="1"/>
  <c r="D60" i="4"/>
  <c r="D29" i="5" s="1"/>
  <c r="D47" i="4"/>
  <c r="D41" i="4"/>
  <c r="D4" i="5" s="1"/>
  <c r="D58" i="4"/>
  <c r="D27" i="5" s="1"/>
  <c r="D56" i="4"/>
  <c r="D25" i="5" s="1"/>
  <c r="D45" i="4"/>
  <c r="D8" i="5" s="1"/>
  <c r="D57" i="4"/>
  <c r="D26" i="5" s="1"/>
  <c r="D42" i="4"/>
  <c r="D5" i="5" s="1"/>
  <c r="E41" i="4"/>
  <c r="E4" i="5" s="1"/>
  <c r="D44" i="4"/>
  <c r="D7" i="5" s="1"/>
  <c r="D53" i="4"/>
  <c r="D19" i="5" s="1"/>
  <c r="D61" i="4"/>
  <c r="D30" i="5" s="1"/>
  <c r="AB10" i="4"/>
  <c r="AE4" i="4"/>
  <c r="AE12" i="4"/>
  <c r="AE5" i="4"/>
  <c r="AB18" i="4"/>
  <c r="AE26" i="4"/>
  <c r="AD10" i="4"/>
  <c r="AE27" i="4"/>
  <c r="AC10" i="4"/>
  <c r="AE16" i="4"/>
  <c r="AE6" i="4"/>
  <c r="AB3" i="4"/>
  <c r="D13" i="5" l="1"/>
  <c r="E46" i="4" a="1"/>
  <c r="E46" i="4" s="1"/>
  <c r="E12" i="5" s="1"/>
  <c r="D46" i="4" a="1"/>
  <c r="D46" i="4" s="1"/>
  <c r="D12" i="5" s="1"/>
  <c r="D3" i="5"/>
  <c r="D39" i="4" a="1"/>
  <c r="D39" i="4" s="1"/>
  <c r="D2" i="5" s="1"/>
  <c r="E39" i="4" a="1"/>
  <c r="E39" i="4" s="1"/>
  <c r="E2" i="5" s="1"/>
  <c r="D24" i="5"/>
  <c r="D54" i="4" a="1"/>
  <c r="D54" i="4" s="1"/>
  <c r="D23" i="5" s="1"/>
  <c r="E54" i="4" a="1"/>
  <c r="E54" i="4" s="1"/>
  <c r="E23" i="5" s="1"/>
  <c r="AE3" i="4"/>
  <c r="AE18" i="4"/>
  <c r="AE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<sst xmlns="http://schemas.openxmlformats.org/spreadsheetml/2006/main" count="318" uniqueCount="65">
  <si>
    <t>Actor</t>
  </si>
  <si>
    <t>Usuario</t>
  </si>
  <si>
    <t>Importancia</t>
  </si>
  <si>
    <t>IE</t>
  </si>
  <si>
    <t>Certeza</t>
  </si>
  <si>
    <t>Telefono</t>
  </si>
  <si>
    <t>Chat</t>
  </si>
  <si>
    <t>VideoChat</t>
  </si>
  <si>
    <t>Inmediatez</t>
  </si>
  <si>
    <t>Anonimato</t>
  </si>
  <si>
    <t>Confortable</t>
  </si>
  <si>
    <t>Certeza:</t>
  </si>
  <si>
    <t>Orientador</t>
  </si>
  <si>
    <t>Recibir Ayuda</t>
  </si>
  <si>
    <t>Proveer Ayuda</t>
  </si>
  <si>
    <t>Calidad</t>
  </si>
  <si>
    <t>Ayudar a muchos</t>
  </si>
  <si>
    <t>Felicidad</t>
  </si>
  <si>
    <t>Evitar quemarse</t>
  </si>
  <si>
    <t>Telefono de la esperanza</t>
  </si>
  <si>
    <t>Ofrecer ayuda emocional</t>
  </si>
  <si>
    <t>Seguridad</t>
  </si>
  <si>
    <t>Evitar escandalos</t>
  </si>
  <si>
    <t>Incrementar fondos</t>
  </si>
  <si>
    <t>Teléfono de la esperanza</t>
  </si>
  <si>
    <t>Recibir ayuda</t>
  </si>
  <si>
    <t>USUARIO</t>
  </si>
  <si>
    <t>ORIENTADOR</t>
  </si>
  <si>
    <t>TELEFONO ESPERANZA</t>
  </si>
  <si>
    <t>Completamente seguro</t>
  </si>
  <si>
    <t>Bastante seguro</t>
  </si>
  <si>
    <t>No seguro en absoluto</t>
  </si>
  <si>
    <t>Importancia:</t>
  </si>
  <si>
    <t>Poco seguro</t>
  </si>
  <si>
    <t>Casi nada seguro</t>
  </si>
  <si>
    <t>Totalmente de acuerdo</t>
  </si>
  <si>
    <t>De acuerdo</t>
  </si>
  <si>
    <t>Ni de acuerdo ni en desacuerdo</t>
  </si>
  <si>
    <t>En desacuerdo</t>
  </si>
  <si>
    <t>Totalmente en desacuerdo</t>
  </si>
  <si>
    <t>Evaluación:</t>
  </si>
  <si>
    <t>Evaluación</t>
  </si>
  <si>
    <t>Evaluar:</t>
  </si>
  <si>
    <t>Total U</t>
  </si>
  <si>
    <t>Total P</t>
  </si>
  <si>
    <t>Total TE</t>
  </si>
  <si>
    <t>*</t>
  </si>
  <si>
    <t>S User</t>
  </si>
  <si>
    <t>S Orienta</t>
  </si>
  <si>
    <t>S TLf</t>
  </si>
  <si>
    <t>S TOTAL</t>
  </si>
  <si>
    <t>Grado de importancia</t>
  </si>
  <si>
    <t>Satisfacción</t>
  </si>
  <si>
    <t>Directa</t>
  </si>
  <si>
    <t>Evitar estresarse</t>
  </si>
  <si>
    <t>Atencion Inmediata</t>
  </si>
  <si>
    <t>Ayuda de calidad</t>
  </si>
  <si>
    <t>Sentirse satisfecho con la ayuda prestada</t>
  </si>
  <si>
    <t>Ayudar a tanta gente como sea posible</t>
  </si>
  <si>
    <t>Ofrecer ayuda de calidad</t>
  </si>
  <si>
    <t>Elemento Intencional</t>
  </si>
  <si>
    <t>Nivel de importancia</t>
  </si>
  <si>
    <t>Satisfacción
[-100, 100]</t>
  </si>
  <si>
    <t>Elementos que contribuyen a la satisfacción</t>
  </si>
  <si>
    <t>Evaluar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</si>
</sst>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/>
    <xf numFmtId="0" fontId="0" fillId="3" borderId="2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4" borderId="1" xfId="0" applyFill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left" vertical="center" wrapText="1"/>
    </xf>
    <xf numFmtId="0" fontId="3" fillId="6" borderId="0" xfId="2" applyAlignment="1">
      <alignment horizontal="center" vertical="center"/>
    </xf>
    <xf numFmtId="0" fontId="0" fillId="0" borderId="0" xfId="0" applyAlignment="1">
      <alignment vertical="center" wrapText="1"/>
    </xf>
    <xf numFmtId="0" fontId="2" fillId="5" borderId="0" xfId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3">
    <cellStyle name="Bueno" xfId="1" builtinId="26"/>
    <cellStyle name="Neutral" xfId="2" builtinId="2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581024</xdr:colOff>
      <xdr:row>1</xdr:row>
      <xdr:rowOff>38101</xdr:rowOff>
    </xdr:from>
    <xdr:to>
      <xdr:col>5</xdr:col>
      <xdr:colOff>57149</xdr:colOff>
      <xdr:row>5</xdr:row>
      <xdr:rowOff>142875</xdr:rowOff>
    </xdr:to>
    <xdr:sp macro="[0]!PrUs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AE8979C-9B34-4FE7-8D3A-8EBFDC868461}"/>
            </a:ext>
          </a:extLst>
        </xdr:cNvPr>
        <xdr:cNvSpPr/>
      </xdr:nvSpPr>
      <xdr:spPr>
        <a:xfrm>
          <a:off x="581024" y="228601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1:</a:t>
          </a:r>
          <a:br>
            <a:rPr lang="es-ES" sz="1100"/>
          </a:br>
          <a:r>
            <a:rPr lang="es-ES" sz="1100"/>
            <a:t>Priorización</a:t>
          </a:r>
        </a:p>
      </xdr:txBody>
    </xdr:sp>
    <xdr:clientData/>
  </xdr:twoCellAnchor>
  <xdr:twoCellAnchor>
    <xdr:from>
      <xdr:col>0</xdr:col>
      <xdr:colOff>514350</xdr:colOff>
      <xdr:row>7</xdr:row>
      <xdr:rowOff>9525</xdr:rowOff>
    </xdr:from>
    <xdr:to>
      <xdr:col>4</xdr:col>
      <xdr:colOff>600075</xdr:colOff>
      <xdr:row>11</xdr:row>
      <xdr:rowOff>114299</xdr:rowOff>
    </xdr:to>
    <xdr:sp macro="[0]!PropaI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8DC2910-90D1-4C6D-9D66-63968871DA32}"/>
            </a:ext>
          </a:extLst>
        </xdr:cNvPr>
        <xdr:cNvSpPr/>
      </xdr:nvSpPr>
      <xdr:spPr>
        <a:xfrm>
          <a:off x="514350" y="134302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2:</a:t>
          </a:r>
          <a:br>
            <a:rPr lang="es-ES" sz="1100"/>
          </a:br>
          <a:r>
            <a:rPr lang="es-ES" sz="1100"/>
            <a:t>Propagación</a:t>
          </a:r>
        </a:p>
      </xdr:txBody>
    </xdr:sp>
    <xdr:clientData/>
  </xdr:twoCellAnchor>
  <xdr:twoCellAnchor>
    <xdr:from>
      <xdr:col>0</xdr:col>
      <xdr:colOff>523875</xdr:colOff>
      <xdr:row>12</xdr:row>
      <xdr:rowOff>123825</xdr:rowOff>
    </xdr:from>
    <xdr:to>
      <xdr:col>5</xdr:col>
      <xdr:colOff>0</xdr:colOff>
      <xdr:row>17</xdr:row>
      <xdr:rowOff>38099</xdr:rowOff>
    </xdr:to>
    <xdr:sp macro="[0]!EvalI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40CAF9D-6447-4B7A-8BBE-6E2E84359345}"/>
            </a:ext>
          </a:extLst>
        </xdr:cNvPr>
        <xdr:cNvSpPr/>
      </xdr:nvSpPr>
      <xdr:spPr>
        <a:xfrm>
          <a:off x="523875" y="2409825"/>
          <a:ext cx="2524125" cy="8667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Paso 3:</a:t>
          </a:r>
          <a:br>
            <a:rPr lang="es-ES" sz="1100"/>
          </a:br>
          <a:r>
            <a:rPr lang="es-ES" sz="1100"/>
            <a:t>Evaluación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2E6D-403D-4D5A-A7CE-2BC3E7A4A0A7}">
  <sheetPr codeName="Hoja3"/>
  <dimension ref="A1:K34"/>
  <sheetViews>
    <sheetView zoomScaleNormal="100" workbookViewId="0">
      <selection activeCell="F18" sqref="F18"/>
    </sheetView>
  </sheetViews>
  <sheetFormatPr baseColWidth="10" defaultRowHeight="15" x14ac:dyDescent="0.25"/>
  <cols>
    <col min="1" max="2" width="23.42578125" bestFit="1" customWidth="1"/>
    <col min="6" max="6" width="13" bestFit="1" customWidth="1"/>
  </cols>
  <sheetData>
    <row r="1" spans="1:11" x14ac:dyDescent="0.25">
      <c r="E1">
        <v>100</v>
      </c>
      <c r="F1" t="s">
        <v>29</v>
      </c>
      <c r="G1" t="s">
        <v>35</v>
      </c>
    </row>
    <row r="2" spans="1:11" x14ac:dyDescent="0.25">
      <c r="E2">
        <v>75</v>
      </c>
      <c r="F2" t="s">
        <v>30</v>
      </c>
      <c r="G2" t="s">
        <v>36</v>
      </c>
    </row>
    <row r="3" spans="1:11" x14ac:dyDescent="0.25">
      <c r="E3">
        <v>50</v>
      </c>
      <c r="F3" t="s">
        <v>33</v>
      </c>
      <c r="G3" t="s">
        <v>37</v>
      </c>
    </row>
    <row r="4" spans="1:11" x14ac:dyDescent="0.25">
      <c r="E4">
        <v>25</v>
      </c>
      <c r="F4" t="s">
        <v>34</v>
      </c>
      <c r="G4" t="s">
        <v>38</v>
      </c>
    </row>
    <row r="5" spans="1:11" x14ac:dyDescent="0.25">
      <c r="E5">
        <v>0</v>
      </c>
      <c r="F5" t="s">
        <v>31</v>
      </c>
      <c r="G5" t="s">
        <v>39</v>
      </c>
    </row>
    <row r="8" spans="1:11" x14ac:dyDescent="0.25">
      <c r="C8" t="s">
        <v>32</v>
      </c>
      <c r="E8">
        <f>Propagacion!AG1</f>
        <v>0</v>
      </c>
    </row>
    <row r="9" spans="1:11" x14ac:dyDescent="0.25">
      <c r="A9" t="s">
        <v>0</v>
      </c>
      <c r="B9" t="s">
        <v>3</v>
      </c>
      <c r="C9" t="s">
        <v>2</v>
      </c>
      <c r="E9" t="s">
        <v>40</v>
      </c>
      <c r="F9" t="s">
        <v>0</v>
      </c>
      <c r="G9" t="s">
        <v>2</v>
      </c>
      <c r="H9" t="s">
        <v>4</v>
      </c>
      <c r="J9" t="s">
        <v>32</v>
      </c>
      <c r="K9" t="s">
        <v>11</v>
      </c>
    </row>
    <row r="10" spans="1:11" x14ac:dyDescent="0.25">
      <c r="A10" t="s">
        <v>1</v>
      </c>
      <c r="B10" t="s">
        <v>13</v>
      </c>
      <c r="C10" t="s">
        <v>2</v>
      </c>
      <c r="E10" t="str">
        <f>Evaluacion!F2</f>
        <v>Evaluar</v>
      </c>
      <c r="F10" t="s">
        <v>1</v>
      </c>
      <c r="G10" t="s">
        <v>32</v>
      </c>
      <c r="H10" t="s">
        <v>11</v>
      </c>
    </row>
    <row r="11" spans="1:11" x14ac:dyDescent="0.25">
      <c r="A11" t="s">
        <v>1</v>
      </c>
      <c r="B11" t="s">
        <v>5</v>
      </c>
      <c r="C11" t="s">
        <v>2</v>
      </c>
      <c r="E11" t="str">
        <f>Evaluacion!F3</f>
        <v>Evaluar</v>
      </c>
      <c r="F11" t="s">
        <v>12</v>
      </c>
      <c r="G11" t="s">
        <v>32</v>
      </c>
      <c r="H11" t="s">
        <v>11</v>
      </c>
    </row>
    <row r="12" spans="1:11" x14ac:dyDescent="0.25">
      <c r="A12" t="s">
        <v>1</v>
      </c>
      <c r="B12" t="s">
        <v>6</v>
      </c>
      <c r="C12" t="s">
        <v>2</v>
      </c>
      <c r="E12" t="str">
        <f>Evaluacion!F4</f>
        <v>Evaluar</v>
      </c>
      <c r="F12" t="s">
        <v>24</v>
      </c>
      <c r="G12" t="s">
        <v>32</v>
      </c>
      <c r="H12" t="s">
        <v>11</v>
      </c>
    </row>
    <row r="13" spans="1:11" x14ac:dyDescent="0.25">
      <c r="A13" t="s">
        <v>1</v>
      </c>
      <c r="B13" t="s">
        <v>7</v>
      </c>
      <c r="C13" t="s">
        <v>2</v>
      </c>
      <c r="E13" t="str">
        <f>Evaluacion!F5</f>
        <v>Evaluar</v>
      </c>
    </row>
    <row r="14" spans="1:11" x14ac:dyDescent="0.25">
      <c r="A14" t="s">
        <v>1</v>
      </c>
      <c r="B14" t="s">
        <v>8</v>
      </c>
      <c r="C14" t="s">
        <v>2</v>
      </c>
      <c r="E14" t="str">
        <f>Evaluacion!F6</f>
        <v>Evaluar</v>
      </c>
    </row>
    <row r="15" spans="1:11" x14ac:dyDescent="0.25">
      <c r="A15" t="s">
        <v>1</v>
      </c>
      <c r="B15" t="s">
        <v>9</v>
      </c>
      <c r="C15" t="s">
        <v>2</v>
      </c>
      <c r="E15" t="str">
        <f>Evaluacion!F7</f>
        <v>Evaluar</v>
      </c>
    </row>
    <row r="16" spans="1:11" x14ac:dyDescent="0.25">
      <c r="A16" t="s">
        <v>1</v>
      </c>
      <c r="B16" t="s">
        <v>10</v>
      </c>
      <c r="C16" t="s">
        <v>2</v>
      </c>
      <c r="E16" t="str">
        <f>Evaluacion!F8</f>
        <v>Evaluar</v>
      </c>
    </row>
    <row r="17" spans="1:5" x14ac:dyDescent="0.25">
      <c r="A17" t="s">
        <v>12</v>
      </c>
      <c r="B17" t="s">
        <v>14</v>
      </c>
      <c r="C17" t="s">
        <v>2</v>
      </c>
      <c r="E17" t="str">
        <f>Evaluacion!F12</f>
        <v>Evaluar</v>
      </c>
    </row>
    <row r="18" spans="1:5" x14ac:dyDescent="0.25">
      <c r="A18" t="s">
        <v>12</v>
      </c>
      <c r="B18" t="s">
        <v>5</v>
      </c>
      <c r="C18" t="s">
        <v>2</v>
      </c>
      <c r="E18" t="str">
        <f>Evaluacion!F13</f>
        <v>Evaluar</v>
      </c>
    </row>
    <row r="19" spans="1:5" x14ac:dyDescent="0.25">
      <c r="A19" t="s">
        <v>12</v>
      </c>
      <c r="B19" t="s">
        <v>6</v>
      </c>
      <c r="C19" t="s">
        <v>2</v>
      </c>
      <c r="E19" t="str">
        <f>Evaluacion!F14</f>
        <v>Evaluar</v>
      </c>
    </row>
    <row r="20" spans="1:5" x14ac:dyDescent="0.25">
      <c r="A20" t="s">
        <v>12</v>
      </c>
      <c r="B20" t="s">
        <v>7</v>
      </c>
      <c r="C20" t="s">
        <v>2</v>
      </c>
      <c r="E20" t="str">
        <f>Evaluacion!F15</f>
        <v>Evaluar</v>
      </c>
    </row>
    <row r="21" spans="1:5" x14ac:dyDescent="0.25">
      <c r="A21" t="s">
        <v>12</v>
      </c>
      <c r="B21" t="s">
        <v>15</v>
      </c>
      <c r="C21" t="s">
        <v>2</v>
      </c>
      <c r="E21" t="str">
        <f>Evaluacion!F16</f>
        <v>Evaluar</v>
      </c>
    </row>
    <row r="22" spans="1:5" x14ac:dyDescent="0.25">
      <c r="A22" t="s">
        <v>12</v>
      </c>
      <c r="B22" t="s">
        <v>16</v>
      </c>
      <c r="C22" t="s">
        <v>2</v>
      </c>
      <c r="E22" t="str">
        <f>Evaluacion!F17</f>
        <v>Evaluar</v>
      </c>
    </row>
    <row r="23" spans="1:5" x14ac:dyDescent="0.25">
      <c r="A23" t="s">
        <v>12</v>
      </c>
      <c r="B23" t="s">
        <v>17</v>
      </c>
      <c r="C23" t="s">
        <v>2</v>
      </c>
      <c r="E23" t="str">
        <f>Evaluacion!F18</f>
        <v>Evaluar</v>
      </c>
    </row>
    <row r="24" spans="1:5" x14ac:dyDescent="0.25">
      <c r="A24" t="s">
        <v>12</v>
      </c>
      <c r="B24" t="s">
        <v>18</v>
      </c>
      <c r="C24" t="s">
        <v>2</v>
      </c>
      <c r="E24" t="str">
        <f>Evaluacion!F19</f>
        <v>Evaluar</v>
      </c>
    </row>
    <row r="25" spans="1:5" x14ac:dyDescent="0.25">
      <c r="A25" t="s">
        <v>19</v>
      </c>
      <c r="B25" t="s">
        <v>20</v>
      </c>
      <c r="C25" t="s">
        <v>2</v>
      </c>
      <c r="E25" t="str">
        <f>Evaluacion!F23</f>
        <v>Evaluar</v>
      </c>
    </row>
    <row r="26" spans="1:5" x14ac:dyDescent="0.25">
      <c r="A26" t="s">
        <v>19</v>
      </c>
      <c r="B26" t="s">
        <v>5</v>
      </c>
      <c r="C26" t="s">
        <v>2</v>
      </c>
      <c r="E26" t="str">
        <f>Evaluacion!F24</f>
        <v>Evaluar</v>
      </c>
    </row>
    <row r="27" spans="1:5" x14ac:dyDescent="0.25">
      <c r="A27" t="s">
        <v>19</v>
      </c>
      <c r="B27" t="s">
        <v>6</v>
      </c>
      <c r="C27" t="s">
        <v>2</v>
      </c>
      <c r="E27" t="str">
        <f>Evaluacion!F25</f>
        <v>Evaluar</v>
      </c>
    </row>
    <row r="28" spans="1:5" x14ac:dyDescent="0.25">
      <c r="A28" t="s">
        <v>19</v>
      </c>
      <c r="B28" t="s">
        <v>7</v>
      </c>
      <c r="C28" t="s">
        <v>2</v>
      </c>
      <c r="E28" t="str">
        <f>Evaluacion!F26</f>
        <v>Evaluar</v>
      </c>
    </row>
    <row r="29" spans="1:5" x14ac:dyDescent="0.25">
      <c r="A29" t="s">
        <v>19</v>
      </c>
      <c r="B29" t="s">
        <v>8</v>
      </c>
      <c r="C29" t="s">
        <v>2</v>
      </c>
      <c r="E29" t="str">
        <f>Evaluacion!F27</f>
        <v>Evaluar</v>
      </c>
    </row>
    <row r="30" spans="1:5" x14ac:dyDescent="0.25">
      <c r="A30" t="s">
        <v>19</v>
      </c>
      <c r="B30" t="s">
        <v>16</v>
      </c>
      <c r="C30" t="s">
        <v>2</v>
      </c>
      <c r="E30" t="str">
        <f>Evaluacion!F28</f>
        <v>Evaluar</v>
      </c>
    </row>
    <row r="31" spans="1:5" x14ac:dyDescent="0.25">
      <c r="A31" t="s">
        <v>19</v>
      </c>
      <c r="B31" t="s">
        <v>21</v>
      </c>
      <c r="C31" t="s">
        <v>2</v>
      </c>
      <c r="E31" t="str">
        <f>Evaluacion!F29</f>
        <v>Evaluar</v>
      </c>
    </row>
    <row r="32" spans="1:5" x14ac:dyDescent="0.25">
      <c r="A32" t="s">
        <v>19</v>
      </c>
      <c r="B32" t="s">
        <v>15</v>
      </c>
      <c r="C32" t="s">
        <v>2</v>
      </c>
      <c r="E32" t="str">
        <f>Evaluacion!F30</f>
        <v>Evaluar</v>
      </c>
    </row>
    <row r="33" spans="1:5" x14ac:dyDescent="0.25">
      <c r="A33" t="s">
        <v>19</v>
      </c>
      <c r="B33" t="s">
        <v>22</v>
      </c>
      <c r="C33" t="s">
        <v>2</v>
      </c>
      <c r="E33" t="str">
        <f>Evaluacion!F31</f>
        <v>Evaluar</v>
      </c>
    </row>
    <row r="34" spans="1:5" x14ac:dyDescent="0.25">
      <c r="A34" t="s">
        <v>19</v>
      </c>
      <c r="B34" t="s">
        <v>23</v>
      </c>
      <c r="C34" t="s">
        <v>2</v>
      </c>
      <c r="E34" t="str">
        <f>Evaluacion!F32</f>
        <v>Evaluar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95B-0308-405F-BA18-DD54FE318A07}">
  <sheetPr codeName="Hoja2"/>
  <dimension ref="A1:AH151"/>
  <sheetViews>
    <sheetView zoomScale="70" zoomScaleNormal="70" workbookViewId="0"/>
  </sheetViews>
  <sheetFormatPr baseColWidth="10" defaultRowHeight="15" x14ac:dyDescent="0.25"/>
  <cols>
    <col min="2" max="2" width="23.42578125" bestFit="1" customWidth="1"/>
    <col min="3" max="3" width="11.42578125" style="1"/>
    <col min="4" max="4" width="15.85546875" style="1" bestFit="1" customWidth="1"/>
    <col min="5" max="5" width="29.42578125" style="1" customWidth="1"/>
    <col min="6" max="6" width="11.42578125" style="1"/>
    <col min="7" max="7" width="11.5703125" style="1" bestFit="1" customWidth="1"/>
    <col min="8" max="18" width="11.42578125" style="1"/>
  </cols>
  <sheetData>
    <row r="1" spans="1:33" x14ac:dyDescent="0.25">
      <c r="A1" s="2"/>
      <c r="B1" s="2" t="s">
        <v>0</v>
      </c>
      <c r="C1" s="29" t="s">
        <v>26</v>
      </c>
      <c r="D1" s="30"/>
      <c r="E1" s="30"/>
      <c r="F1" s="30"/>
      <c r="G1" s="30"/>
      <c r="H1" s="30"/>
      <c r="I1" s="31"/>
      <c r="J1" s="29" t="s">
        <v>27</v>
      </c>
      <c r="K1" s="30"/>
      <c r="L1" s="30"/>
      <c r="M1" s="30"/>
      <c r="N1" s="30"/>
      <c r="O1" s="30"/>
      <c r="P1" s="30"/>
      <c r="Q1" s="31"/>
      <c r="R1" s="29" t="s">
        <v>28</v>
      </c>
      <c r="S1" s="30"/>
      <c r="T1" s="30"/>
      <c r="U1" s="30"/>
      <c r="V1" s="30"/>
      <c r="W1" s="30"/>
      <c r="X1" s="30"/>
      <c r="Y1" s="30"/>
      <c r="Z1" s="30"/>
      <c r="AA1" s="30"/>
      <c r="AB1" s="1" t="s">
        <v>47</v>
      </c>
      <c r="AC1" s="1" t="s">
        <v>48</v>
      </c>
      <c r="AD1" s="1" t="s">
        <v>49</v>
      </c>
      <c r="AE1" s="1" t="s">
        <v>50</v>
      </c>
    </row>
    <row r="2" spans="1:33" x14ac:dyDescent="0.25">
      <c r="A2" s="2"/>
      <c r="B2" s="2"/>
      <c r="C2" s="9" t="s">
        <v>25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9" t="s">
        <v>14</v>
      </c>
      <c r="K2" s="6" t="s">
        <v>5</v>
      </c>
      <c r="L2" s="6" t="s">
        <v>6</v>
      </c>
      <c r="M2" s="6" t="s">
        <v>7</v>
      </c>
      <c r="N2" s="6" t="s">
        <v>15</v>
      </c>
      <c r="O2" s="6" t="s">
        <v>16</v>
      </c>
      <c r="P2" s="6" t="s">
        <v>17</v>
      </c>
      <c r="Q2" s="6" t="s">
        <v>18</v>
      </c>
      <c r="R2" s="9" t="s">
        <v>20</v>
      </c>
      <c r="S2" s="6" t="s">
        <v>5</v>
      </c>
      <c r="T2" s="6" t="s">
        <v>6</v>
      </c>
      <c r="U2" s="6" t="s">
        <v>7</v>
      </c>
      <c r="V2" s="5" t="s">
        <v>8</v>
      </c>
      <c r="W2" s="5" t="s">
        <v>16</v>
      </c>
      <c r="X2" s="5" t="s">
        <v>21</v>
      </c>
      <c r="Y2" s="5" t="s">
        <v>15</v>
      </c>
      <c r="Z2" s="5" t="s">
        <v>22</v>
      </c>
      <c r="AA2" s="5" t="s">
        <v>23</v>
      </c>
      <c r="AB2" s="10" t="s">
        <v>46</v>
      </c>
      <c r="AC2" s="10" t="s">
        <v>46</v>
      </c>
      <c r="AD2" s="10" t="s">
        <v>46</v>
      </c>
      <c r="AE2" s="10" t="s">
        <v>46</v>
      </c>
      <c r="AF2" s="10" t="s">
        <v>2</v>
      </c>
      <c r="AG2" s="10" t="s">
        <v>41</v>
      </c>
    </row>
    <row r="3" spans="1:33" x14ac:dyDescent="0.25">
      <c r="A3" s="2" t="s">
        <v>1</v>
      </c>
      <c r="B3" s="5" t="s">
        <v>13</v>
      </c>
      <c r="C3" s="4">
        <v>100</v>
      </c>
      <c r="D3" s="8"/>
      <c r="E3" s="8"/>
      <c r="F3" s="8"/>
      <c r="G3" s="3"/>
      <c r="H3" s="3"/>
      <c r="I3" s="3"/>
      <c r="J3" s="8"/>
      <c r="K3" s="3"/>
      <c r="L3" s="3"/>
      <c r="M3" s="3"/>
      <c r="N3" s="3"/>
      <c r="O3" s="3"/>
      <c r="P3" s="3"/>
      <c r="Q3" s="3"/>
      <c r="R3" s="8"/>
      <c r="S3" s="3"/>
      <c r="T3" s="3"/>
      <c r="U3" s="3"/>
      <c r="V3" s="3"/>
      <c r="W3" s="3"/>
      <c r="X3" s="3"/>
      <c r="Y3" s="3"/>
      <c r="Z3" s="3"/>
      <c r="AB3" s="7" t="e">
        <f>MAX(((C3*C$28+D3*D$28+E3*E$28+F3*F$28+G3*G$28+H3*H$28+I3*I$28)/$B$29),AB4:AB6)</f>
        <v>#VALUE!</v>
      </c>
      <c r="AC3" s="7" t="e">
        <f>MAX(((J3*J$28+K3*K$28+L3*L$28+M3*M$28+N3*N$28+O3*O$28+P3*P$28+Q3*Q$28)/$B$30),AC4:AC6)</f>
        <v>#VALUE!</v>
      </c>
      <c r="AD3" s="7" t="e">
        <f>MAX(((R3*R$28+S3*S$28+T3*T$28+U3*U$28+V3*V$28+W3*W$28+X3*X$28+Y3*Y$28+Z3*Z$28+AA3*AA$28)/$B$31),AD4:AD6)</f>
        <v>#VALUE!</v>
      </c>
      <c r="AE3" s="7" t="str">
        <f>_xlfn.CONCAT("-&gt; ",IFERROR(ROUND(AVERAGE(AB3:AD3),2),"ERROR"))</f>
        <v>-&gt; ERROR</v>
      </c>
      <c r="AF3" t="str">
        <f>Respuestas!C10</f>
        <v>Importancia</v>
      </c>
      <c r="AG3" t="s">
        <v>42</v>
      </c>
    </row>
    <row r="4" spans="1:33" x14ac:dyDescent="0.25">
      <c r="A4" s="2" t="s">
        <v>1</v>
      </c>
      <c r="B4" s="5" t="s">
        <v>5</v>
      </c>
      <c r="C4" s="8">
        <v>100</v>
      </c>
      <c r="D4" s="4">
        <v>100</v>
      </c>
      <c r="E4" s="3"/>
      <c r="F4" s="3"/>
      <c r="G4" s="3">
        <v>50</v>
      </c>
      <c r="H4" s="3">
        <v>25</v>
      </c>
      <c r="I4" s="3">
        <v>25</v>
      </c>
      <c r="J4" s="8"/>
      <c r="K4" s="3"/>
      <c r="L4" s="3"/>
      <c r="M4" s="3"/>
      <c r="N4" s="3"/>
      <c r="O4" s="3"/>
      <c r="P4" s="3"/>
      <c r="Q4" s="3"/>
      <c r="R4" s="8"/>
      <c r="S4" s="3"/>
      <c r="T4" s="3"/>
      <c r="U4" s="3"/>
      <c r="V4" s="3"/>
      <c r="W4" s="3"/>
      <c r="X4" s="3"/>
      <c r="Y4" s="3"/>
      <c r="Z4" s="3"/>
      <c r="AA4" s="3"/>
      <c r="AB4" s="7" t="e">
        <f t="shared" ref="AB4:AB27" si="0">(C4*C$28+D4*D$28+E4*E$28+F4*F$28+G4*G$28+H4*H$28+I4*I$28)/$B$29</f>
        <v>#VALUE!</v>
      </c>
      <c r="AC4" s="7" t="e">
        <f t="shared" ref="AC4:AC27" si="1">(J4*J$28+K4*K$28+L4*L$28+M4*M$28+N4*N$28+O4*O$28+P4*P$28+Q4*Q$28)/$B$30</f>
        <v>#VALUE!</v>
      </c>
      <c r="AD4" s="7" t="e">
        <f t="shared" ref="AD4:AD27" si="2">(R4*R$28+S4*S$28+T4*T$28+U4*U$28+V4*V$28+W4*W$28+X4*X$28+Y4*Y$28+Z4*Z$28+AA4*AA$28)/$B$31</f>
        <v>#VALUE!</v>
      </c>
      <c r="AE4" s="7" t="str">
        <f t="shared" ref="AE4:AE27" si="3">_xlfn.CONCAT("-&gt; ",IFERROR(ROUND(AVERAGE(AB4:AD4),2),"ERROR"))</f>
        <v>-&gt; ERROR</v>
      </c>
      <c r="AF4" t="str">
        <f>Respuestas!C11</f>
        <v>Importancia</v>
      </c>
      <c r="AG4" t="s">
        <v>42</v>
      </c>
    </row>
    <row r="5" spans="1:33" x14ac:dyDescent="0.25">
      <c r="A5" s="2" t="s">
        <v>1</v>
      </c>
      <c r="B5" s="5" t="s">
        <v>6</v>
      </c>
      <c r="C5" s="8">
        <v>100</v>
      </c>
      <c r="D5" s="3"/>
      <c r="E5" s="4">
        <v>100</v>
      </c>
      <c r="F5" s="3"/>
      <c r="G5" s="3">
        <v>75</v>
      </c>
      <c r="H5" s="3">
        <v>100</v>
      </c>
      <c r="I5" s="3">
        <v>68.75</v>
      </c>
      <c r="J5" s="8"/>
      <c r="K5" s="3"/>
      <c r="L5" s="3"/>
      <c r="M5" s="3"/>
      <c r="N5" s="3"/>
      <c r="O5" s="3"/>
      <c r="P5" s="3"/>
      <c r="Q5" s="3"/>
      <c r="R5" s="8"/>
      <c r="S5" s="3"/>
      <c r="T5" s="3"/>
      <c r="U5" s="3"/>
      <c r="V5" s="3"/>
      <c r="W5" s="3"/>
      <c r="X5" s="3"/>
      <c r="Y5" s="3"/>
      <c r="Z5" s="3"/>
      <c r="AA5" s="3"/>
      <c r="AB5" s="7" t="e">
        <f t="shared" si="0"/>
        <v>#VALUE!</v>
      </c>
      <c r="AC5" s="7" t="e">
        <f t="shared" si="1"/>
        <v>#VALUE!</v>
      </c>
      <c r="AD5" s="7" t="e">
        <f t="shared" si="2"/>
        <v>#VALUE!</v>
      </c>
      <c r="AE5" s="7" t="str">
        <f t="shared" si="3"/>
        <v>-&gt; ERROR</v>
      </c>
      <c r="AF5" t="str">
        <f>Respuestas!C12</f>
        <v>Importancia</v>
      </c>
      <c r="AG5" t="s">
        <v>42</v>
      </c>
    </row>
    <row r="6" spans="1:33" x14ac:dyDescent="0.25">
      <c r="A6" s="2" t="s">
        <v>1</v>
      </c>
      <c r="B6" s="5" t="s">
        <v>7</v>
      </c>
      <c r="C6" s="8">
        <v>100</v>
      </c>
      <c r="D6" s="3"/>
      <c r="E6" s="3"/>
      <c r="F6" s="4">
        <v>100</v>
      </c>
      <c r="G6" s="3">
        <v>50</v>
      </c>
      <c r="H6" s="3">
        <v>-75</v>
      </c>
      <c r="I6" s="3">
        <v>-25</v>
      </c>
      <c r="J6" s="8"/>
      <c r="K6" s="3"/>
      <c r="L6" s="3"/>
      <c r="M6" s="3"/>
      <c r="N6" s="3"/>
      <c r="O6" s="3"/>
      <c r="P6" s="3"/>
      <c r="Q6" s="3"/>
      <c r="R6" s="8"/>
      <c r="S6" s="3"/>
      <c r="T6" s="3"/>
      <c r="U6" s="3"/>
      <c r="V6" s="3"/>
      <c r="W6" s="3"/>
      <c r="X6" s="3"/>
      <c r="Y6" s="3"/>
      <c r="Z6" s="3"/>
      <c r="AA6" s="3"/>
      <c r="AB6" s="7" t="e">
        <f t="shared" si="0"/>
        <v>#VALUE!</v>
      </c>
      <c r="AC6" s="7" t="e">
        <f t="shared" si="1"/>
        <v>#VALUE!</v>
      </c>
      <c r="AD6" s="7" t="e">
        <f t="shared" si="2"/>
        <v>#VALUE!</v>
      </c>
      <c r="AE6" s="7" t="str">
        <f t="shared" si="3"/>
        <v>-&gt; ERROR</v>
      </c>
      <c r="AF6" t="str">
        <f>Respuestas!C13</f>
        <v>Importancia</v>
      </c>
      <c r="AG6" t="s">
        <v>42</v>
      </c>
    </row>
    <row r="7" spans="1:33" x14ac:dyDescent="0.25">
      <c r="A7" s="2" t="s">
        <v>1</v>
      </c>
      <c r="B7" s="5" t="s">
        <v>8</v>
      </c>
      <c r="C7" s="8"/>
      <c r="D7" s="3"/>
      <c r="E7" s="3"/>
      <c r="F7" s="3"/>
      <c r="G7" s="4">
        <v>100</v>
      </c>
      <c r="H7" s="3"/>
      <c r="I7" s="3">
        <v>25</v>
      </c>
      <c r="J7" s="8"/>
      <c r="K7" s="3"/>
      <c r="L7" s="3"/>
      <c r="M7" s="3"/>
      <c r="N7" s="3"/>
      <c r="O7" s="3"/>
      <c r="P7" s="3"/>
      <c r="Q7" s="3"/>
      <c r="R7" s="8"/>
      <c r="S7" s="3"/>
      <c r="T7" s="3"/>
      <c r="U7" s="3"/>
      <c r="V7" s="3"/>
      <c r="W7" s="3"/>
      <c r="X7" s="3"/>
      <c r="Y7" s="3"/>
      <c r="Z7" s="3"/>
      <c r="AA7" s="3"/>
      <c r="AB7" s="7" t="e">
        <f t="shared" si="0"/>
        <v>#VALUE!</v>
      </c>
      <c r="AC7" s="7" t="e">
        <f t="shared" si="1"/>
        <v>#VALUE!</v>
      </c>
      <c r="AD7" s="7" t="e">
        <f t="shared" si="2"/>
        <v>#VALUE!</v>
      </c>
      <c r="AE7" s="7" t="str">
        <f t="shared" si="3"/>
        <v>-&gt; ERROR</v>
      </c>
      <c r="AF7" t="str">
        <f>Respuestas!C14</f>
        <v>Importancia</v>
      </c>
      <c r="AG7" t="s">
        <v>42</v>
      </c>
    </row>
    <row r="8" spans="1:33" x14ac:dyDescent="0.25">
      <c r="A8" s="2" t="s">
        <v>1</v>
      </c>
      <c r="B8" s="5" t="s">
        <v>9</v>
      </c>
      <c r="C8" s="8"/>
      <c r="D8" s="3"/>
      <c r="E8" s="3"/>
      <c r="F8" s="3"/>
      <c r="G8" s="3"/>
      <c r="H8" s="4">
        <v>100</v>
      </c>
      <c r="I8" s="3">
        <v>50</v>
      </c>
      <c r="J8" s="8"/>
      <c r="K8" s="3"/>
      <c r="L8" s="3"/>
      <c r="M8" s="3"/>
      <c r="N8" s="3"/>
      <c r="O8" s="3"/>
      <c r="P8" s="3"/>
      <c r="Q8" s="3"/>
      <c r="R8" s="8"/>
      <c r="S8" s="3"/>
      <c r="T8" s="3"/>
      <c r="U8" s="3"/>
      <c r="V8" s="3"/>
      <c r="W8" s="3"/>
      <c r="X8" s="3"/>
      <c r="Y8" s="3"/>
      <c r="Z8" s="3"/>
      <c r="AA8" s="3"/>
      <c r="AB8" s="7" t="e">
        <f t="shared" si="0"/>
        <v>#VALUE!</v>
      </c>
      <c r="AC8" s="7" t="e">
        <f t="shared" si="1"/>
        <v>#VALUE!</v>
      </c>
      <c r="AD8" s="7" t="e">
        <f t="shared" si="2"/>
        <v>#VALUE!</v>
      </c>
      <c r="AE8" s="7" t="str">
        <f t="shared" si="3"/>
        <v>-&gt; ERROR</v>
      </c>
      <c r="AF8" t="str">
        <f>Respuestas!C15</f>
        <v>Importancia</v>
      </c>
      <c r="AG8" t="s">
        <v>42</v>
      </c>
    </row>
    <row r="9" spans="1:33" x14ac:dyDescent="0.25">
      <c r="A9" s="2" t="s">
        <v>1</v>
      </c>
      <c r="B9" s="5" t="s">
        <v>10</v>
      </c>
      <c r="C9" s="8"/>
      <c r="D9" s="3"/>
      <c r="E9" s="3"/>
      <c r="F9" s="3"/>
      <c r="G9" s="3"/>
      <c r="H9" s="3"/>
      <c r="I9" s="4">
        <v>100</v>
      </c>
      <c r="J9" s="8"/>
      <c r="K9" s="3"/>
      <c r="L9" s="3"/>
      <c r="M9" s="3"/>
      <c r="N9" s="3"/>
      <c r="O9" s="3"/>
      <c r="P9" s="3"/>
      <c r="Q9" s="3"/>
      <c r="R9" s="8"/>
      <c r="S9" s="3"/>
      <c r="T9" s="3"/>
      <c r="U9" s="3"/>
      <c r="V9" s="3"/>
      <c r="W9" s="3"/>
      <c r="X9" s="3"/>
      <c r="Y9" s="3"/>
      <c r="Z9" s="3"/>
      <c r="AA9" s="3"/>
      <c r="AB9" s="7" t="e">
        <f t="shared" si="0"/>
        <v>#VALUE!</v>
      </c>
      <c r="AC9" s="7" t="e">
        <f t="shared" si="1"/>
        <v>#VALUE!</v>
      </c>
      <c r="AD9" s="7" t="e">
        <f t="shared" si="2"/>
        <v>#VALUE!</v>
      </c>
      <c r="AE9" s="7" t="str">
        <f t="shared" si="3"/>
        <v>-&gt; ERROR</v>
      </c>
      <c r="AF9" t="str">
        <f>Respuestas!C16</f>
        <v>Importancia</v>
      </c>
      <c r="AG9" t="s">
        <v>42</v>
      </c>
    </row>
    <row r="10" spans="1:33" x14ac:dyDescent="0.25">
      <c r="A10" s="2" t="s">
        <v>12</v>
      </c>
      <c r="B10" s="5" t="s">
        <v>14</v>
      </c>
      <c r="C10" s="8"/>
      <c r="D10" s="3"/>
      <c r="E10" s="3"/>
      <c r="F10" s="3"/>
      <c r="G10" s="3"/>
      <c r="H10" s="3"/>
      <c r="I10" s="3"/>
      <c r="J10" s="4">
        <v>100</v>
      </c>
      <c r="K10" s="8"/>
      <c r="L10" s="8"/>
      <c r="M10" s="8"/>
      <c r="N10" s="3"/>
      <c r="O10" s="3"/>
      <c r="P10" s="3"/>
      <c r="Q10" s="3"/>
      <c r="R10" s="8"/>
      <c r="S10" s="3"/>
      <c r="T10" s="3"/>
      <c r="U10" s="3"/>
      <c r="V10" s="3"/>
      <c r="W10" s="3"/>
      <c r="X10" s="3"/>
      <c r="Y10" s="3"/>
      <c r="Z10" s="3"/>
      <c r="AA10" s="3"/>
      <c r="AB10" s="7" t="e">
        <f>MAX(((C10*C$28+D10*D$28+E10*E$28+F10*F$28+G10*G$28+H10*H$28+I10*I$28)/$B$29),AB11:AB13)</f>
        <v>#VALUE!</v>
      </c>
      <c r="AC10" s="7" t="e">
        <f>MAX(((J10*J$28+K10*K$28+L10*L$28+M10*M$28+N10*N$28+O10*O$28+P10*P$28+Q10*Q$28)/$B$30),AC11:AC13)</f>
        <v>#VALUE!</v>
      </c>
      <c r="AD10" s="7" t="e">
        <f>MAX(((R10*R$28+S10*S$28+T10*T$28+U10*U$28+V10*V$28+W10*W$28+X10*X$28+Y10*Y$28+Z10*Z$28+AA10*AA$28)/$B$31),AD11:AD13)</f>
        <v>#VALUE!</v>
      </c>
      <c r="AE10" s="7" t="str">
        <f t="shared" si="3"/>
        <v>-&gt; ERROR</v>
      </c>
      <c r="AF10" t="str">
        <f>Respuestas!C17</f>
        <v>Importancia</v>
      </c>
      <c r="AG10" t="s">
        <v>42</v>
      </c>
    </row>
    <row r="11" spans="1:33" x14ac:dyDescent="0.25">
      <c r="A11" s="2" t="s">
        <v>12</v>
      </c>
      <c r="B11" s="5" t="s">
        <v>5</v>
      </c>
      <c r="C11" s="8"/>
      <c r="D11" s="3"/>
      <c r="E11" s="3"/>
      <c r="F11" s="3"/>
      <c r="G11" s="3"/>
      <c r="H11" s="3"/>
      <c r="I11" s="3"/>
      <c r="J11" s="8">
        <v>100</v>
      </c>
      <c r="K11" s="4">
        <v>100</v>
      </c>
      <c r="L11" s="3"/>
      <c r="M11" s="3"/>
      <c r="N11" s="3">
        <v>50</v>
      </c>
      <c r="O11" s="3">
        <v>50</v>
      </c>
      <c r="P11" s="3">
        <v>6.25</v>
      </c>
      <c r="Q11" s="28">
        <v>-25</v>
      </c>
      <c r="R11" s="8"/>
      <c r="S11" s="3"/>
      <c r="T11" s="3"/>
      <c r="U11" s="3"/>
      <c r="V11" s="3"/>
      <c r="W11" s="3"/>
      <c r="X11" s="3"/>
      <c r="Y11" s="3"/>
      <c r="Z11" s="3"/>
      <c r="AA11" s="3"/>
      <c r="AB11" s="7" t="e">
        <f t="shared" si="0"/>
        <v>#VALUE!</v>
      </c>
      <c r="AC11" s="7" t="e">
        <f t="shared" si="1"/>
        <v>#VALUE!</v>
      </c>
      <c r="AD11" s="7" t="e">
        <f t="shared" si="2"/>
        <v>#VALUE!</v>
      </c>
      <c r="AE11" s="7" t="str">
        <f t="shared" si="3"/>
        <v>-&gt; ERROR</v>
      </c>
      <c r="AF11" t="str">
        <f>Respuestas!C18</f>
        <v>Importancia</v>
      </c>
      <c r="AG11" t="s">
        <v>42</v>
      </c>
    </row>
    <row r="12" spans="1:33" x14ac:dyDescent="0.25">
      <c r="A12" s="2" t="s">
        <v>12</v>
      </c>
      <c r="B12" s="5" t="s">
        <v>6</v>
      </c>
      <c r="C12" s="8"/>
      <c r="D12" s="3"/>
      <c r="E12" s="3"/>
      <c r="F12" s="3"/>
      <c r="G12" s="3"/>
      <c r="H12" s="3"/>
      <c r="I12" s="3"/>
      <c r="J12" s="8">
        <v>100</v>
      </c>
      <c r="K12" s="3"/>
      <c r="L12" s="4">
        <v>100</v>
      </c>
      <c r="M12" s="3"/>
      <c r="N12" s="3">
        <v>25</v>
      </c>
      <c r="O12" s="3">
        <v>75</v>
      </c>
      <c r="P12" s="3">
        <v>-15</v>
      </c>
      <c r="Q12" s="28">
        <v>-37.5</v>
      </c>
      <c r="R12" s="8"/>
      <c r="S12" s="3"/>
      <c r="T12" s="3"/>
      <c r="U12" s="3"/>
      <c r="V12" s="3"/>
      <c r="W12" s="3"/>
      <c r="X12" s="3"/>
      <c r="Y12" s="3"/>
      <c r="Z12" s="3"/>
      <c r="AA12" s="3"/>
      <c r="AB12" s="7" t="e">
        <f t="shared" si="0"/>
        <v>#VALUE!</v>
      </c>
      <c r="AC12" s="7" t="e">
        <f t="shared" si="1"/>
        <v>#VALUE!</v>
      </c>
      <c r="AD12" s="7" t="e">
        <f t="shared" si="2"/>
        <v>#VALUE!</v>
      </c>
      <c r="AE12" s="7" t="str">
        <f t="shared" si="3"/>
        <v>-&gt; ERROR</v>
      </c>
      <c r="AF12" t="str">
        <f>Respuestas!C19</f>
        <v>Importancia</v>
      </c>
      <c r="AG12" t="s">
        <v>42</v>
      </c>
    </row>
    <row r="13" spans="1:33" x14ac:dyDescent="0.25">
      <c r="A13" s="2" t="s">
        <v>12</v>
      </c>
      <c r="B13" s="5" t="s">
        <v>7</v>
      </c>
      <c r="C13" s="8"/>
      <c r="D13" s="3"/>
      <c r="E13" s="3"/>
      <c r="F13" s="3"/>
      <c r="G13" s="3"/>
      <c r="H13" s="3"/>
      <c r="I13" s="3"/>
      <c r="J13" s="8">
        <v>100</v>
      </c>
      <c r="K13" s="3"/>
      <c r="L13" s="3"/>
      <c r="M13" s="4">
        <v>100</v>
      </c>
      <c r="N13" s="3">
        <v>75</v>
      </c>
      <c r="O13" s="3">
        <v>25</v>
      </c>
      <c r="P13" s="3">
        <v>28.125</v>
      </c>
      <c r="Q13" s="28">
        <v>-12.5</v>
      </c>
      <c r="R13" s="8"/>
      <c r="S13" s="3"/>
      <c r="T13" s="3"/>
      <c r="U13" s="3"/>
      <c r="V13" s="3"/>
      <c r="W13" s="3"/>
      <c r="X13" s="3"/>
      <c r="Y13" s="3"/>
      <c r="Z13" s="3"/>
      <c r="AA13" s="3"/>
      <c r="AB13" s="7" t="e">
        <f t="shared" si="0"/>
        <v>#VALUE!</v>
      </c>
      <c r="AC13" s="7" t="e">
        <f t="shared" si="1"/>
        <v>#VALUE!</v>
      </c>
      <c r="AD13" s="7" t="e">
        <f t="shared" si="2"/>
        <v>#VALUE!</v>
      </c>
      <c r="AE13" s="7" t="str">
        <f t="shared" si="3"/>
        <v>-&gt; ERROR</v>
      </c>
      <c r="AF13" t="str">
        <f>Respuestas!C20</f>
        <v>Importancia</v>
      </c>
      <c r="AG13" t="s">
        <v>42</v>
      </c>
    </row>
    <row r="14" spans="1:33" x14ac:dyDescent="0.25">
      <c r="A14" s="2" t="s">
        <v>12</v>
      </c>
      <c r="B14" s="5" t="s">
        <v>15</v>
      </c>
      <c r="C14" s="8"/>
      <c r="D14" s="3"/>
      <c r="E14" s="3"/>
      <c r="F14" s="3"/>
      <c r="G14" s="3"/>
      <c r="H14" s="3"/>
      <c r="I14" s="3"/>
      <c r="J14" s="8"/>
      <c r="K14" s="3"/>
      <c r="L14" s="3"/>
      <c r="M14" s="3"/>
      <c r="N14" s="4">
        <v>100</v>
      </c>
      <c r="O14" s="3"/>
      <c r="P14" s="3">
        <v>50</v>
      </c>
      <c r="Q14" s="3"/>
      <c r="R14" s="8"/>
      <c r="S14" s="3"/>
      <c r="T14" s="3"/>
      <c r="U14" s="3"/>
      <c r="V14" s="3"/>
      <c r="W14" s="3"/>
      <c r="X14" s="3"/>
      <c r="Y14" s="3"/>
      <c r="Z14" s="3"/>
      <c r="AA14" s="3"/>
      <c r="AB14" s="7" t="e">
        <f t="shared" si="0"/>
        <v>#VALUE!</v>
      </c>
      <c r="AC14" s="7" t="e">
        <f t="shared" si="1"/>
        <v>#VALUE!</v>
      </c>
      <c r="AD14" s="7" t="e">
        <f t="shared" si="2"/>
        <v>#VALUE!</v>
      </c>
      <c r="AE14" s="7" t="str">
        <f t="shared" si="3"/>
        <v>-&gt; ERROR</v>
      </c>
      <c r="AF14" t="str">
        <f>Respuestas!C21</f>
        <v>Importancia</v>
      </c>
      <c r="AG14" t="s">
        <v>42</v>
      </c>
    </row>
    <row r="15" spans="1:33" x14ac:dyDescent="0.25">
      <c r="A15" s="2" t="s">
        <v>12</v>
      </c>
      <c r="B15" s="5" t="s">
        <v>16</v>
      </c>
      <c r="C15" s="8"/>
      <c r="D15" s="3"/>
      <c r="E15" s="3"/>
      <c r="F15" s="3"/>
      <c r="G15" s="3"/>
      <c r="H15" s="3"/>
      <c r="I15" s="3"/>
      <c r="J15" s="8"/>
      <c r="K15" s="3"/>
      <c r="L15" s="3"/>
      <c r="M15" s="3"/>
      <c r="N15" s="3"/>
      <c r="O15" s="4">
        <v>100</v>
      </c>
      <c r="P15" s="3">
        <f>Q15/100*P17</f>
        <v>-37.5</v>
      </c>
      <c r="Q15" s="3">
        <v>-50</v>
      </c>
      <c r="R15" s="8"/>
      <c r="S15" s="3"/>
      <c r="T15" s="3"/>
      <c r="U15" s="3"/>
      <c r="V15" s="3"/>
      <c r="W15" s="3"/>
      <c r="X15" s="3"/>
      <c r="Y15" s="3"/>
      <c r="Z15" s="3"/>
      <c r="AA15" s="3"/>
      <c r="AB15" s="7" t="e">
        <f t="shared" si="0"/>
        <v>#VALUE!</v>
      </c>
      <c r="AC15" s="7" t="e">
        <f t="shared" si="1"/>
        <v>#VALUE!</v>
      </c>
      <c r="AD15" s="7" t="e">
        <f t="shared" si="2"/>
        <v>#VALUE!</v>
      </c>
      <c r="AE15" s="7" t="str">
        <f t="shared" si="3"/>
        <v>-&gt; ERROR</v>
      </c>
      <c r="AF15" t="str">
        <f>Respuestas!C22</f>
        <v>Importancia</v>
      </c>
      <c r="AG15" t="s">
        <v>42</v>
      </c>
    </row>
    <row r="16" spans="1:33" x14ac:dyDescent="0.25">
      <c r="A16" s="2" t="s">
        <v>12</v>
      </c>
      <c r="B16" s="5" t="s">
        <v>17</v>
      </c>
      <c r="C16" s="8"/>
      <c r="D16" s="3"/>
      <c r="E16" s="3"/>
      <c r="F16" s="3"/>
      <c r="G16" s="3"/>
      <c r="H16" s="3"/>
      <c r="I16" s="3"/>
      <c r="J16" s="8"/>
      <c r="K16" s="3"/>
      <c r="L16" s="3"/>
      <c r="M16" s="3"/>
      <c r="N16" s="3"/>
      <c r="O16" s="3"/>
      <c r="P16" s="4">
        <v>100</v>
      </c>
      <c r="Q16" s="3"/>
      <c r="R16" s="8"/>
      <c r="S16" s="3"/>
      <c r="T16" s="3"/>
      <c r="U16" s="3"/>
      <c r="V16" s="3"/>
      <c r="W16" s="3"/>
      <c r="X16" s="3"/>
      <c r="Y16" s="3"/>
      <c r="Z16" s="3"/>
      <c r="AA16" s="3"/>
      <c r="AB16" s="7" t="e">
        <f t="shared" si="0"/>
        <v>#VALUE!</v>
      </c>
      <c r="AC16" s="7" t="e">
        <f t="shared" si="1"/>
        <v>#VALUE!</v>
      </c>
      <c r="AD16" s="7" t="e">
        <f t="shared" si="2"/>
        <v>#VALUE!</v>
      </c>
      <c r="AE16" s="7" t="str">
        <f t="shared" si="3"/>
        <v>-&gt; ERROR</v>
      </c>
      <c r="AF16" t="str">
        <f>Respuestas!C23</f>
        <v>Importancia</v>
      </c>
      <c r="AG16" t="s">
        <v>42</v>
      </c>
    </row>
    <row r="17" spans="1:33" x14ac:dyDescent="0.25">
      <c r="A17" s="2" t="s">
        <v>12</v>
      </c>
      <c r="B17" s="5" t="s">
        <v>18</v>
      </c>
      <c r="C17" s="8"/>
      <c r="D17" s="3"/>
      <c r="E17" s="3"/>
      <c r="F17" s="3"/>
      <c r="G17" s="3"/>
      <c r="H17" s="3"/>
      <c r="I17" s="3"/>
      <c r="J17" s="8"/>
      <c r="K17" s="3"/>
      <c r="L17" s="3"/>
      <c r="M17" s="3"/>
      <c r="N17" s="3"/>
      <c r="O17" s="3"/>
      <c r="P17" s="3">
        <v>75</v>
      </c>
      <c r="Q17" s="4">
        <v>100</v>
      </c>
      <c r="R17" s="8"/>
      <c r="S17" s="3"/>
      <c r="T17" s="3"/>
      <c r="U17" s="3"/>
      <c r="V17" s="3"/>
      <c r="W17" s="3"/>
      <c r="X17" s="3"/>
      <c r="Y17" s="3"/>
      <c r="Z17" s="3"/>
      <c r="AA17" s="3"/>
      <c r="AB17" s="7" t="e">
        <f t="shared" si="0"/>
        <v>#VALUE!</v>
      </c>
      <c r="AC17" s="7" t="e">
        <f t="shared" si="1"/>
        <v>#VALUE!</v>
      </c>
      <c r="AD17" s="7" t="e">
        <f t="shared" si="2"/>
        <v>#VALUE!</v>
      </c>
      <c r="AE17" s="7" t="str">
        <f t="shared" si="3"/>
        <v>-&gt; ERROR</v>
      </c>
      <c r="AF17" t="str">
        <f>Respuestas!C24</f>
        <v>Importancia</v>
      </c>
      <c r="AG17" t="s">
        <v>42</v>
      </c>
    </row>
    <row r="18" spans="1:33" x14ac:dyDescent="0.25">
      <c r="A18" s="2" t="s">
        <v>19</v>
      </c>
      <c r="B18" s="5" t="s">
        <v>20</v>
      </c>
      <c r="C18" s="8"/>
      <c r="D18" s="3"/>
      <c r="E18" s="3"/>
      <c r="F18" s="3"/>
      <c r="G18" s="3"/>
      <c r="H18" s="3"/>
      <c r="I18" s="3"/>
      <c r="J18" s="8"/>
      <c r="K18" s="3"/>
      <c r="L18" s="3"/>
      <c r="M18" s="3"/>
      <c r="N18" s="3"/>
      <c r="O18" s="3"/>
      <c r="P18" s="3"/>
      <c r="Q18" s="3"/>
      <c r="R18" s="4">
        <v>100</v>
      </c>
      <c r="S18" s="8"/>
      <c r="T18" s="8"/>
      <c r="U18" s="8"/>
      <c r="V18" s="3"/>
      <c r="W18" s="3"/>
      <c r="X18" s="3"/>
      <c r="Y18" s="3"/>
      <c r="Z18" s="3"/>
      <c r="AA18" s="3"/>
      <c r="AB18" s="7" t="e">
        <f>MAX(((C18*C$28+D18*D$28+E18*E$28+F18*F$28+G18*G$28+H18*H$28+I18*I$28)/$B$29),AB19:AB21)</f>
        <v>#VALUE!</v>
      </c>
      <c r="AC18" s="7" t="e">
        <f>MAX(((J18*J$28+K18*K$28+L18*L$28+M18*M$28+N18*N$28+O18*O$28+P18*P$28+Q18*Q$28)/$B$30),AC19:AC21)</f>
        <v>#VALUE!</v>
      </c>
      <c r="AD18" s="7" t="e">
        <f>MAX(((R18*R$28+S18*S$28+T18*T$28+U18*U$28+V18*V$28+W18*W$28+X18*X$28+Y18*Y$28+Z18*Z$28+AA18*AA$28)/$B$31),AD19:AD21)</f>
        <v>#VALUE!</v>
      </c>
      <c r="AE18" s="7" t="str">
        <f t="shared" si="3"/>
        <v>-&gt; ERROR</v>
      </c>
      <c r="AF18" t="str">
        <f>Respuestas!C25</f>
        <v>Importancia</v>
      </c>
      <c r="AG18" t="s">
        <v>42</v>
      </c>
    </row>
    <row r="19" spans="1:33" x14ac:dyDescent="0.25">
      <c r="A19" s="2" t="s">
        <v>19</v>
      </c>
      <c r="B19" s="5" t="s">
        <v>5</v>
      </c>
      <c r="C19" s="8"/>
      <c r="D19" s="3"/>
      <c r="E19" s="3"/>
      <c r="F19" s="3"/>
      <c r="G19" s="3"/>
      <c r="H19" s="3"/>
      <c r="I19" s="3"/>
      <c r="J19" s="8"/>
      <c r="K19" s="3"/>
      <c r="L19" s="3"/>
      <c r="M19" s="3"/>
      <c r="N19" s="3"/>
      <c r="O19" s="3"/>
      <c r="P19" s="3"/>
      <c r="Q19" s="3"/>
      <c r="R19" s="8">
        <v>100</v>
      </c>
      <c r="S19" s="4">
        <v>100</v>
      </c>
      <c r="T19" s="3"/>
      <c r="U19" s="3"/>
      <c r="V19" s="3">
        <v>50</v>
      </c>
      <c r="W19" s="3">
        <f>X19*W$24/100</f>
        <v>3.515625</v>
      </c>
      <c r="X19" s="3">
        <v>25</v>
      </c>
      <c r="Y19" s="17">
        <f>V19*0.5</f>
        <v>25</v>
      </c>
      <c r="Z19" s="3">
        <f>X19*Z$24/100</f>
        <v>18.75</v>
      </c>
      <c r="AA19" s="3">
        <f>Z19*AA$26/100</f>
        <v>4.6875</v>
      </c>
      <c r="AB19" s="7" t="e">
        <f t="shared" si="0"/>
        <v>#VALUE!</v>
      </c>
      <c r="AC19" s="7" t="e">
        <f t="shared" si="1"/>
        <v>#VALUE!</v>
      </c>
      <c r="AD19" s="7" t="e">
        <f t="shared" si="2"/>
        <v>#VALUE!</v>
      </c>
      <c r="AE19" s="7" t="str">
        <f t="shared" si="3"/>
        <v>-&gt; ERROR</v>
      </c>
      <c r="AF19" t="str">
        <f>Respuestas!C26</f>
        <v>Importancia</v>
      </c>
      <c r="AG19" t="s">
        <v>42</v>
      </c>
    </row>
    <row r="20" spans="1:33" x14ac:dyDescent="0.25">
      <c r="A20" s="2" t="s">
        <v>19</v>
      </c>
      <c r="B20" s="5" t="s">
        <v>6</v>
      </c>
      <c r="C20" s="8"/>
      <c r="D20" s="3"/>
      <c r="E20" s="3"/>
      <c r="F20" s="3"/>
      <c r="G20" s="3"/>
      <c r="H20" s="3"/>
      <c r="I20" s="3"/>
      <c r="J20" s="8"/>
      <c r="K20" s="3"/>
      <c r="L20" s="3"/>
      <c r="M20" s="3"/>
      <c r="N20" s="3"/>
      <c r="O20" s="3"/>
      <c r="P20" s="3"/>
      <c r="Q20" s="3"/>
      <c r="R20" s="8">
        <v>100</v>
      </c>
      <c r="S20" s="3"/>
      <c r="T20" s="4">
        <v>100</v>
      </c>
      <c r="U20" s="3"/>
      <c r="V20" s="3">
        <v>75</v>
      </c>
      <c r="W20" s="3">
        <f>X20*W$24/100</f>
        <v>14.0625</v>
      </c>
      <c r="X20" s="3">
        <v>100</v>
      </c>
      <c r="Y20" s="17">
        <f t="shared" ref="Y20:Y21" si="4">V20*0.5</f>
        <v>37.5</v>
      </c>
      <c r="Z20" s="3">
        <f>X20*Z$24/100</f>
        <v>75</v>
      </c>
      <c r="AA20" s="3">
        <f>Z20*AA$26/100</f>
        <v>18.75</v>
      </c>
      <c r="AB20" s="7" t="e">
        <f t="shared" si="0"/>
        <v>#VALUE!</v>
      </c>
      <c r="AC20" s="7" t="e">
        <f t="shared" si="1"/>
        <v>#VALUE!</v>
      </c>
      <c r="AD20" s="7" t="e">
        <f t="shared" si="2"/>
        <v>#VALUE!</v>
      </c>
      <c r="AE20" s="7" t="str">
        <f t="shared" si="3"/>
        <v>-&gt; ERROR</v>
      </c>
      <c r="AF20" t="str">
        <f>Respuestas!C27</f>
        <v>Importancia</v>
      </c>
      <c r="AG20" t="s">
        <v>42</v>
      </c>
    </row>
    <row r="21" spans="1:33" x14ac:dyDescent="0.25">
      <c r="A21" s="2" t="s">
        <v>19</v>
      </c>
      <c r="B21" s="5" t="s">
        <v>7</v>
      </c>
      <c r="C21" s="8"/>
      <c r="D21" s="3"/>
      <c r="E21" s="3"/>
      <c r="F21" s="3"/>
      <c r="G21" s="3"/>
      <c r="H21" s="3"/>
      <c r="I21" s="3"/>
      <c r="J21" s="8"/>
      <c r="K21" s="3"/>
      <c r="L21" s="3"/>
      <c r="M21" s="3"/>
      <c r="N21" s="3"/>
      <c r="O21" s="3"/>
      <c r="P21" s="3"/>
      <c r="Q21" s="3"/>
      <c r="R21" s="8">
        <v>100</v>
      </c>
      <c r="S21" s="3"/>
      <c r="T21" s="3"/>
      <c r="U21" s="4">
        <v>100</v>
      </c>
      <c r="V21" s="3">
        <v>50</v>
      </c>
      <c r="W21" s="3">
        <f>X21*W$24/100</f>
        <v>-10.546875</v>
      </c>
      <c r="X21" s="3">
        <v>-75</v>
      </c>
      <c r="Y21" s="17">
        <f t="shared" si="4"/>
        <v>25</v>
      </c>
      <c r="Z21" s="3">
        <f>X21*Z$24/100</f>
        <v>-56.25</v>
      </c>
      <c r="AA21" s="3">
        <f>Z21*AA$26/100</f>
        <v>-14.0625</v>
      </c>
      <c r="AB21" s="7" t="e">
        <f t="shared" si="0"/>
        <v>#VALUE!</v>
      </c>
      <c r="AC21" s="7" t="e">
        <f t="shared" si="1"/>
        <v>#VALUE!</v>
      </c>
      <c r="AD21" s="7" t="e">
        <f t="shared" si="2"/>
        <v>#VALUE!</v>
      </c>
      <c r="AE21" s="7" t="str">
        <f t="shared" si="3"/>
        <v>-&gt; ERROR</v>
      </c>
      <c r="AF21" t="str">
        <f>Respuestas!C28</f>
        <v>Importancia</v>
      </c>
      <c r="AG21" t="s">
        <v>42</v>
      </c>
    </row>
    <row r="22" spans="1:33" x14ac:dyDescent="0.25">
      <c r="A22" s="2" t="s">
        <v>19</v>
      </c>
      <c r="B22" s="5" t="s">
        <v>8</v>
      </c>
      <c r="C22" s="8"/>
      <c r="D22" s="3"/>
      <c r="E22" s="3"/>
      <c r="F22" s="3"/>
      <c r="G22" s="3"/>
      <c r="H22" s="3"/>
      <c r="I22" s="3"/>
      <c r="J22" s="8"/>
      <c r="K22" s="3"/>
      <c r="L22" s="3"/>
      <c r="M22" s="3"/>
      <c r="N22" s="3"/>
      <c r="O22" s="3"/>
      <c r="P22" s="3"/>
      <c r="Q22" s="3"/>
      <c r="R22" s="8"/>
      <c r="S22" s="3"/>
      <c r="T22" s="3"/>
      <c r="U22" s="3"/>
      <c r="V22" s="4">
        <v>100</v>
      </c>
      <c r="W22" s="3"/>
      <c r="X22" s="3"/>
      <c r="Y22" s="3">
        <v>50</v>
      </c>
      <c r="Z22" s="3"/>
      <c r="AA22" s="3"/>
      <c r="AB22" s="7" t="e">
        <f t="shared" si="0"/>
        <v>#VALUE!</v>
      </c>
      <c r="AC22" s="7" t="e">
        <f t="shared" si="1"/>
        <v>#VALUE!</v>
      </c>
      <c r="AD22" s="7" t="e">
        <f t="shared" si="2"/>
        <v>#VALUE!</v>
      </c>
      <c r="AE22" s="7" t="str">
        <f t="shared" si="3"/>
        <v>-&gt; ERROR</v>
      </c>
      <c r="AF22" t="str">
        <f>Respuestas!C29</f>
        <v>Importancia</v>
      </c>
      <c r="AG22" t="s">
        <v>42</v>
      </c>
    </row>
    <row r="23" spans="1:33" x14ac:dyDescent="0.25">
      <c r="A23" s="2" t="s">
        <v>19</v>
      </c>
      <c r="B23" s="5" t="s">
        <v>16</v>
      </c>
      <c r="C23" s="8"/>
      <c r="D23" s="3"/>
      <c r="E23" s="3"/>
      <c r="F23" s="3"/>
      <c r="G23" s="3"/>
      <c r="H23" s="3"/>
      <c r="I23" s="3"/>
      <c r="J23" s="8"/>
      <c r="K23" s="3"/>
      <c r="L23" s="3"/>
      <c r="M23" s="3"/>
      <c r="N23" s="3"/>
      <c r="O23" s="3"/>
      <c r="P23" s="3"/>
      <c r="Q23" s="3"/>
      <c r="R23" s="8"/>
      <c r="S23" s="3"/>
      <c r="T23" s="3"/>
      <c r="U23" s="3"/>
      <c r="V23" s="3"/>
      <c r="W23" s="4">
        <v>100</v>
      </c>
      <c r="X23" s="3"/>
      <c r="Y23" s="3"/>
      <c r="Z23" s="3"/>
      <c r="AA23" s="3"/>
      <c r="AB23" s="7" t="e">
        <f t="shared" si="0"/>
        <v>#VALUE!</v>
      </c>
      <c r="AC23" s="7" t="e">
        <f t="shared" si="1"/>
        <v>#VALUE!</v>
      </c>
      <c r="AD23" s="7" t="e">
        <f t="shared" si="2"/>
        <v>#VALUE!</v>
      </c>
      <c r="AE23" s="7" t="str">
        <f t="shared" si="3"/>
        <v>-&gt; ERROR</v>
      </c>
      <c r="AF23" t="str">
        <f>Respuestas!C30</f>
        <v>Importancia</v>
      </c>
      <c r="AG23" t="s">
        <v>42</v>
      </c>
    </row>
    <row r="24" spans="1:33" x14ac:dyDescent="0.25">
      <c r="A24" s="2" t="s">
        <v>19</v>
      </c>
      <c r="B24" s="5" t="s">
        <v>21</v>
      </c>
      <c r="C24" s="8"/>
      <c r="D24" s="3"/>
      <c r="E24" s="3"/>
      <c r="F24" s="3"/>
      <c r="G24" s="3"/>
      <c r="H24" s="3"/>
      <c r="I24" s="3"/>
      <c r="J24" s="8"/>
      <c r="K24" s="3"/>
      <c r="L24" s="3"/>
      <c r="M24" s="3"/>
      <c r="N24" s="3"/>
      <c r="O24" s="3"/>
      <c r="P24" s="3"/>
      <c r="Q24" s="3"/>
      <c r="R24" s="8"/>
      <c r="S24" s="3"/>
      <c r="T24" s="3"/>
      <c r="U24" s="3"/>
      <c r="V24" s="3"/>
      <c r="W24" s="3">
        <v>14.0625</v>
      </c>
      <c r="X24" s="4">
        <v>100</v>
      </c>
      <c r="Y24" s="3"/>
      <c r="Z24" s="3">
        <v>75</v>
      </c>
      <c r="AA24" s="3"/>
      <c r="AB24" s="7" t="e">
        <f t="shared" si="0"/>
        <v>#VALUE!</v>
      </c>
      <c r="AC24" s="7" t="e">
        <f t="shared" si="1"/>
        <v>#VALUE!</v>
      </c>
      <c r="AD24" s="7" t="e">
        <f t="shared" si="2"/>
        <v>#VALUE!</v>
      </c>
      <c r="AE24" s="7" t="str">
        <f t="shared" si="3"/>
        <v>-&gt; ERROR</v>
      </c>
      <c r="AF24" t="str">
        <f>Respuestas!C31</f>
        <v>Importancia</v>
      </c>
      <c r="AG24" t="s">
        <v>42</v>
      </c>
    </row>
    <row r="25" spans="1:33" x14ac:dyDescent="0.25">
      <c r="A25" s="2" t="s">
        <v>19</v>
      </c>
      <c r="B25" s="5" t="s">
        <v>15</v>
      </c>
      <c r="C25" s="8"/>
      <c r="D25" s="3"/>
      <c r="E25" s="3"/>
      <c r="F25" s="3"/>
      <c r="G25" s="3"/>
      <c r="H25" s="3"/>
      <c r="I25" s="3"/>
      <c r="J25" s="8"/>
      <c r="K25" s="3"/>
      <c r="L25" s="3"/>
      <c r="M25" s="3"/>
      <c r="N25" s="3"/>
      <c r="O25" s="3"/>
      <c r="P25" s="3"/>
      <c r="Q25" s="3"/>
      <c r="R25" s="8"/>
      <c r="S25" s="3"/>
      <c r="T25" s="3"/>
      <c r="U25" s="3"/>
      <c r="V25" s="3"/>
      <c r="W25" s="3"/>
      <c r="X25" s="3"/>
      <c r="Y25" s="4">
        <v>100</v>
      </c>
      <c r="Z25" s="3"/>
      <c r="AA25" s="3"/>
      <c r="AB25" s="7" t="e">
        <f t="shared" si="0"/>
        <v>#VALUE!</v>
      </c>
      <c r="AC25" s="7" t="e">
        <f t="shared" si="1"/>
        <v>#VALUE!</v>
      </c>
      <c r="AD25" s="7" t="e">
        <f t="shared" si="2"/>
        <v>#VALUE!</v>
      </c>
      <c r="AE25" s="7" t="str">
        <f t="shared" si="3"/>
        <v>-&gt; ERROR</v>
      </c>
      <c r="AF25" t="str">
        <f>Respuestas!C32</f>
        <v>Importancia</v>
      </c>
      <c r="AG25" t="s">
        <v>42</v>
      </c>
    </row>
    <row r="26" spans="1:33" x14ac:dyDescent="0.25">
      <c r="A26" s="2" t="s">
        <v>19</v>
      </c>
      <c r="B26" s="5" t="s">
        <v>22</v>
      </c>
      <c r="C26" s="8"/>
      <c r="D26" s="3"/>
      <c r="E26" s="3"/>
      <c r="F26" s="3"/>
      <c r="G26" s="3"/>
      <c r="H26" s="3"/>
      <c r="I26" s="3"/>
      <c r="J26" s="8"/>
      <c r="K26" s="3"/>
      <c r="L26" s="3"/>
      <c r="M26" s="3"/>
      <c r="N26" s="3"/>
      <c r="O26" s="3"/>
      <c r="P26" s="3"/>
      <c r="Q26" s="3"/>
      <c r="R26" s="8"/>
      <c r="S26" s="3"/>
      <c r="T26" s="3"/>
      <c r="U26" s="3"/>
      <c r="V26" s="3"/>
      <c r="W26" s="3">
        <v>18.75</v>
      </c>
      <c r="X26" s="3"/>
      <c r="Y26" s="3"/>
      <c r="Z26" s="4">
        <v>100</v>
      </c>
      <c r="AA26" s="3">
        <v>25</v>
      </c>
      <c r="AB26" s="7" t="e">
        <f t="shared" si="0"/>
        <v>#VALUE!</v>
      </c>
      <c r="AC26" s="7" t="e">
        <f t="shared" si="1"/>
        <v>#VALUE!</v>
      </c>
      <c r="AD26" s="7" t="e">
        <f t="shared" si="2"/>
        <v>#VALUE!</v>
      </c>
      <c r="AE26" s="7" t="str">
        <f t="shared" si="3"/>
        <v>-&gt; ERROR</v>
      </c>
      <c r="AF26" t="str">
        <f>Respuestas!C33</f>
        <v>Importancia</v>
      </c>
      <c r="AG26" t="s">
        <v>42</v>
      </c>
    </row>
    <row r="27" spans="1:33" x14ac:dyDescent="0.25">
      <c r="A27" s="2" t="s">
        <v>19</v>
      </c>
      <c r="B27" s="5" t="s">
        <v>23</v>
      </c>
      <c r="C27" s="8"/>
      <c r="D27" s="3"/>
      <c r="E27" s="3"/>
      <c r="F27" s="3"/>
      <c r="G27" s="3"/>
      <c r="H27" s="3"/>
      <c r="I27" s="3"/>
      <c r="J27" s="8"/>
      <c r="K27" s="3"/>
      <c r="L27" s="3"/>
      <c r="M27" s="3"/>
      <c r="N27" s="3"/>
      <c r="O27" s="3"/>
      <c r="P27" s="3"/>
      <c r="Q27" s="3"/>
      <c r="R27" s="8"/>
      <c r="S27" s="3"/>
      <c r="T27" s="3"/>
      <c r="U27" s="3"/>
      <c r="V27" s="3"/>
      <c r="W27" s="3">
        <v>75</v>
      </c>
      <c r="X27" s="3"/>
      <c r="Y27" s="3"/>
      <c r="Z27" s="3"/>
      <c r="AA27" s="4">
        <v>100</v>
      </c>
      <c r="AB27" s="7" t="e">
        <f t="shared" si="0"/>
        <v>#VALUE!</v>
      </c>
      <c r="AC27" s="7" t="e">
        <f t="shared" si="1"/>
        <v>#VALUE!</v>
      </c>
      <c r="AD27" s="7" t="e">
        <f t="shared" si="2"/>
        <v>#VALUE!</v>
      </c>
      <c r="AE27" s="7" t="str">
        <f t="shared" si="3"/>
        <v>-&gt; ERROR</v>
      </c>
      <c r="AF27" t="str">
        <f>Respuestas!C34</f>
        <v>Importancia</v>
      </c>
      <c r="AG27" t="s">
        <v>42</v>
      </c>
    </row>
    <row r="28" spans="1:33" x14ac:dyDescent="0.25">
      <c r="C28" s="1" t="str">
        <f>Respuestas!C10</f>
        <v>Importancia</v>
      </c>
      <c r="D28" s="1" t="str">
        <f>Respuestas!C11</f>
        <v>Importancia</v>
      </c>
      <c r="E28" s="1" t="str">
        <f>Respuestas!C12</f>
        <v>Importancia</v>
      </c>
      <c r="F28" s="1" t="str">
        <f>Respuestas!C13</f>
        <v>Importancia</v>
      </c>
      <c r="G28" s="1" t="str">
        <f>Respuestas!C14</f>
        <v>Importancia</v>
      </c>
      <c r="H28" s="1" t="str">
        <f>Respuestas!C15</f>
        <v>Importancia</v>
      </c>
      <c r="I28" s="1" t="str">
        <f>Respuestas!C16</f>
        <v>Importancia</v>
      </c>
      <c r="J28" s="1" t="str">
        <f>Respuestas!C17</f>
        <v>Importancia</v>
      </c>
      <c r="K28" s="1" t="str">
        <f>Respuestas!C18</f>
        <v>Importancia</v>
      </c>
      <c r="L28" s="1" t="str">
        <f>Respuestas!C19</f>
        <v>Importancia</v>
      </c>
      <c r="M28" s="1" t="str">
        <f>Respuestas!C20</f>
        <v>Importancia</v>
      </c>
      <c r="N28" s="1" t="str">
        <f>Respuestas!C21</f>
        <v>Importancia</v>
      </c>
      <c r="O28" s="1" t="str">
        <f>Respuestas!C22</f>
        <v>Importancia</v>
      </c>
      <c r="P28" s="1" t="str">
        <f>Respuestas!C23</f>
        <v>Importancia</v>
      </c>
      <c r="Q28" s="1" t="str">
        <f>Respuestas!C24</f>
        <v>Importancia</v>
      </c>
      <c r="R28" s="1" t="str">
        <f>Respuestas!C25</f>
        <v>Importancia</v>
      </c>
      <c r="S28" s="1" t="str">
        <f>Respuestas!C26</f>
        <v>Importancia</v>
      </c>
      <c r="T28" s="1" t="str">
        <f>Respuestas!C27</f>
        <v>Importancia</v>
      </c>
      <c r="U28" s="1" t="str">
        <f>Respuestas!C28</f>
        <v>Importancia</v>
      </c>
      <c r="V28" s="1" t="str">
        <f>Respuestas!C29</f>
        <v>Importancia</v>
      </c>
      <c r="W28" s="1" t="str">
        <f>Respuestas!C30</f>
        <v>Importancia</v>
      </c>
      <c r="X28" s="1" t="str">
        <f>Respuestas!C31</f>
        <v>Importancia</v>
      </c>
      <c r="Y28" s="1" t="str">
        <f>Respuestas!C32</f>
        <v>Importancia</v>
      </c>
      <c r="Z28" s="1" t="str">
        <f>Respuestas!C33</f>
        <v>Importancia</v>
      </c>
      <c r="AA28" s="1" t="str">
        <f>Respuestas!C34</f>
        <v>Importancia</v>
      </c>
    </row>
    <row r="29" spans="1:33" x14ac:dyDescent="0.25">
      <c r="A29" t="s">
        <v>43</v>
      </c>
      <c r="B29" s="1">
        <f>SUM(C28:I28)</f>
        <v>0</v>
      </c>
    </row>
    <row r="30" spans="1:33" x14ac:dyDescent="0.25">
      <c r="A30" t="s">
        <v>44</v>
      </c>
      <c r="B30" s="1">
        <f>SUM(J28:Q28)</f>
        <v>0</v>
      </c>
    </row>
    <row r="31" spans="1:33" x14ac:dyDescent="0.25">
      <c r="A31" t="s">
        <v>45</v>
      </c>
      <c r="B31" s="1">
        <f>SUM(R28:AA28)</f>
        <v>0</v>
      </c>
    </row>
    <row r="33" spans="1:34" x14ac:dyDescent="0.25">
      <c r="A33">
        <v>1</v>
      </c>
      <c r="B33">
        <v>2</v>
      </c>
      <c r="C33">
        <v>3</v>
      </c>
      <c r="D33">
        <v>4</v>
      </c>
      <c r="E33">
        <v>5</v>
      </c>
      <c r="F33">
        <v>6</v>
      </c>
      <c r="G33">
        <v>7</v>
      </c>
      <c r="H33">
        <v>8</v>
      </c>
      <c r="I33">
        <v>9</v>
      </c>
      <c r="J33">
        <v>10</v>
      </c>
      <c r="K33">
        <v>11</v>
      </c>
      <c r="L33">
        <v>12</v>
      </c>
      <c r="M33">
        <v>13</v>
      </c>
      <c r="N33">
        <v>14</v>
      </c>
      <c r="O33">
        <v>15</v>
      </c>
      <c r="P33">
        <v>16</v>
      </c>
      <c r="Q33">
        <v>17</v>
      </c>
      <c r="R33">
        <v>18</v>
      </c>
      <c r="S33">
        <v>19</v>
      </c>
      <c r="T33">
        <v>20</v>
      </c>
      <c r="U33">
        <v>21</v>
      </c>
      <c r="V33">
        <v>22</v>
      </c>
      <c r="W33">
        <v>23</v>
      </c>
      <c r="X33">
        <v>24</v>
      </c>
      <c r="Y33">
        <v>25</v>
      </c>
      <c r="Z33">
        <v>26</v>
      </c>
      <c r="AA33">
        <v>27</v>
      </c>
      <c r="AB33">
        <v>28</v>
      </c>
      <c r="AC33">
        <v>29</v>
      </c>
      <c r="AD33">
        <v>30</v>
      </c>
      <c r="AE33">
        <v>31</v>
      </c>
      <c r="AF33">
        <v>32</v>
      </c>
      <c r="AG33">
        <v>33</v>
      </c>
    </row>
    <row r="38" spans="1:34" x14ac:dyDescent="0.25">
      <c r="C38" s="11" t="s">
        <v>51</v>
      </c>
      <c r="D38" s="12" t="s">
        <v>52</v>
      </c>
      <c r="E38" s="12" t="s">
        <v>53</v>
      </c>
      <c r="I38"/>
      <c r="J38" s="5" t="s">
        <v>13</v>
      </c>
      <c r="K38" s="5" t="s">
        <v>5</v>
      </c>
      <c r="L38" s="5" t="s">
        <v>6</v>
      </c>
      <c r="M38" s="5" t="s">
        <v>7</v>
      </c>
      <c r="N38" s="5" t="s">
        <v>55</v>
      </c>
      <c r="O38" s="5" t="s">
        <v>9</v>
      </c>
      <c r="P38" s="5" t="s">
        <v>10</v>
      </c>
      <c r="Q38" s="5" t="s">
        <v>14</v>
      </c>
      <c r="R38" s="5" t="s">
        <v>5</v>
      </c>
      <c r="S38" s="5" t="s">
        <v>6</v>
      </c>
      <c r="T38" s="5" t="s">
        <v>7</v>
      </c>
      <c r="U38" s="5" t="s">
        <v>56</v>
      </c>
      <c r="V38" s="5" t="s">
        <v>16</v>
      </c>
      <c r="W38" s="5" t="s">
        <v>57</v>
      </c>
      <c r="X38" s="5" t="s">
        <v>54</v>
      </c>
      <c r="Y38" s="5" t="s">
        <v>20</v>
      </c>
      <c r="Z38" s="5" t="s">
        <v>5</v>
      </c>
      <c r="AA38" s="5" t="s">
        <v>6</v>
      </c>
      <c r="AB38" s="5" t="s">
        <v>7</v>
      </c>
      <c r="AC38" s="5" t="s">
        <v>8</v>
      </c>
      <c r="AD38" s="5" t="s">
        <v>58</v>
      </c>
      <c r="AE38" s="5" t="s">
        <v>21</v>
      </c>
      <c r="AF38" s="5" t="s">
        <v>59</v>
      </c>
      <c r="AG38" s="5" t="s">
        <v>22</v>
      </c>
      <c r="AH38" s="5" t="s">
        <v>23</v>
      </c>
    </row>
    <row r="39" spans="1:34" x14ac:dyDescent="0.25">
      <c r="B39" s="5" t="s">
        <v>13</v>
      </c>
      <c r="C39" s="20" t="str">
        <f>Respuestas!C10</f>
        <v>Importancia</v>
      </c>
      <c r="D39" s="19" t="e" cm="1">
        <f t="array" ref="D39">_xlfn.IFS(D40=MAX(D40:D42),D40,D41=MAX(D40:D42),D41,D42=MAX(D40:D42),D42)</f>
        <v>#VALUE!</v>
      </c>
      <c r="E39" s="16" t="e" cm="1">
        <f t="array" ref="E39">_xlfn.IFS(D40=MAX(D40:D42),E40,D41=MAX(D40:D42),E41,D42=MAX(D40:D42),E42)</f>
        <v>#VALUE!</v>
      </c>
      <c r="G39" s="13"/>
      <c r="H39" s="14"/>
      <c r="I39"/>
      <c r="J39" s="7" t="e">
        <f>C3*C$28/$B$29/3</f>
        <v>#VALUE!</v>
      </c>
      <c r="K39" s="7" t="e">
        <f t="shared" ref="K39:P39" si="5">D3*D$28/$B$29/3</f>
        <v>#VALUE!</v>
      </c>
      <c r="L39" s="7" t="e">
        <f t="shared" si="5"/>
        <v>#VALUE!</v>
      </c>
      <c r="M39" s="7" t="e">
        <f t="shared" si="5"/>
        <v>#VALUE!</v>
      </c>
      <c r="N39" s="7" t="e">
        <f t="shared" si="5"/>
        <v>#VALUE!</v>
      </c>
      <c r="O39" s="7" t="e">
        <f t="shared" si="5"/>
        <v>#VALUE!</v>
      </c>
      <c r="P39" s="7" t="e">
        <f t="shared" si="5"/>
        <v>#VALUE!</v>
      </c>
      <c r="Q39" s="7" t="e">
        <f>J3*J$28/$B$30/3</f>
        <v>#VALUE!</v>
      </c>
      <c r="R39" s="7" t="e">
        <f t="shared" ref="R39:X39" si="6">K3*K$28/$B$30/3</f>
        <v>#VALUE!</v>
      </c>
      <c r="S39" s="7" t="e">
        <f t="shared" si="6"/>
        <v>#VALUE!</v>
      </c>
      <c r="T39" s="7" t="e">
        <f t="shared" si="6"/>
        <v>#VALUE!</v>
      </c>
      <c r="U39" s="7" t="e">
        <f t="shared" si="6"/>
        <v>#VALUE!</v>
      </c>
      <c r="V39" s="7" t="e">
        <f t="shared" si="6"/>
        <v>#VALUE!</v>
      </c>
      <c r="W39" s="7" t="e">
        <f t="shared" si="6"/>
        <v>#VALUE!</v>
      </c>
      <c r="X39" s="7" t="e">
        <f t="shared" si="6"/>
        <v>#VALUE!</v>
      </c>
      <c r="Y39" s="7" t="e">
        <f>R3*R$28/$B$31/3</f>
        <v>#VALUE!</v>
      </c>
      <c r="Z39" s="7" t="e">
        <f t="shared" ref="Z39:AH39" si="7">S3*S$28/$B$31/3</f>
        <v>#VALUE!</v>
      </c>
      <c r="AA39" s="7" t="e">
        <f t="shared" si="7"/>
        <v>#VALUE!</v>
      </c>
      <c r="AB39" s="7" t="e">
        <f t="shared" si="7"/>
        <v>#VALUE!</v>
      </c>
      <c r="AC39" s="7" t="e">
        <f t="shared" si="7"/>
        <v>#VALUE!</v>
      </c>
      <c r="AD39" s="7" t="e">
        <f t="shared" si="7"/>
        <v>#VALUE!</v>
      </c>
      <c r="AE39" s="7" t="e">
        <f t="shared" si="7"/>
        <v>#VALUE!</v>
      </c>
      <c r="AF39" s="7" t="e">
        <f t="shared" si="7"/>
        <v>#VALUE!</v>
      </c>
      <c r="AG39" s="7" t="e">
        <f t="shared" si="7"/>
        <v>#VALUE!</v>
      </c>
      <c r="AH39" s="7" t="e">
        <f t="shared" si="7"/>
        <v>#VALUE!</v>
      </c>
    </row>
    <row r="40" spans="1:34" x14ac:dyDescent="0.25">
      <c r="B40" s="5" t="s">
        <v>5</v>
      </c>
      <c r="C40" s="21" t="str">
        <f>Respuestas!C11</f>
        <v>Importancia</v>
      </c>
      <c r="D40" s="18" t="e">
        <f t="shared" ref="D40:D63" si="8">ROUND(SUM(J40:AH40),2)</f>
        <v>#VALUE!</v>
      </c>
      <c r="E40" s="13" t="e">
        <f>_xlfn.CONCAT(K$38," (",ROUND(K40,2),")",CHAR(10),CHAR(10),J$38," (",ROUND(J40,2),")",CHAR(10),N$38," (",ROUND(N40,2),")",CHAR(10),O$38," (",ROUND(O40,2),")",CHAR(10),P$38," (",ROUND(P40,2),")")</f>
        <v>#VALUE!</v>
      </c>
      <c r="H40" s="14"/>
      <c r="I40"/>
      <c r="J40" s="7" t="e">
        <f t="shared" ref="J40:P40" si="9">C4*C$28/$B$29/3</f>
        <v>#VALUE!</v>
      </c>
      <c r="K40" s="7" t="e">
        <f t="shared" si="9"/>
        <v>#VALUE!</v>
      </c>
      <c r="L40" s="7" t="e">
        <f t="shared" si="9"/>
        <v>#VALUE!</v>
      </c>
      <c r="M40" s="7" t="e">
        <f t="shared" si="9"/>
        <v>#VALUE!</v>
      </c>
      <c r="N40" s="7" t="e">
        <f t="shared" si="9"/>
        <v>#VALUE!</v>
      </c>
      <c r="O40" s="7" t="e">
        <f t="shared" si="9"/>
        <v>#VALUE!</v>
      </c>
      <c r="P40" s="7" t="e">
        <f t="shared" si="9"/>
        <v>#VALUE!</v>
      </c>
      <c r="Q40" s="7" t="e">
        <f t="shared" ref="Q40:X40" si="10">J4*J$28/$B$30/3</f>
        <v>#VALUE!</v>
      </c>
      <c r="R40" s="7" t="e">
        <f t="shared" si="10"/>
        <v>#VALUE!</v>
      </c>
      <c r="S40" s="7" t="e">
        <f t="shared" si="10"/>
        <v>#VALUE!</v>
      </c>
      <c r="T40" s="7" t="e">
        <f t="shared" si="10"/>
        <v>#VALUE!</v>
      </c>
      <c r="U40" s="7" t="e">
        <f t="shared" si="10"/>
        <v>#VALUE!</v>
      </c>
      <c r="V40" s="7" t="e">
        <f t="shared" si="10"/>
        <v>#VALUE!</v>
      </c>
      <c r="W40" s="7" t="e">
        <f t="shared" si="10"/>
        <v>#VALUE!</v>
      </c>
      <c r="X40" s="7" t="e">
        <f t="shared" si="10"/>
        <v>#VALUE!</v>
      </c>
      <c r="Y40" s="7" t="e">
        <f t="shared" ref="Y40:AH40" si="11">R4*R$28/$B$31/3</f>
        <v>#VALUE!</v>
      </c>
      <c r="Z40" s="7" t="e">
        <f t="shared" si="11"/>
        <v>#VALUE!</v>
      </c>
      <c r="AA40" s="7" t="e">
        <f t="shared" si="11"/>
        <v>#VALUE!</v>
      </c>
      <c r="AB40" s="7" t="e">
        <f t="shared" si="11"/>
        <v>#VALUE!</v>
      </c>
      <c r="AC40" s="7" t="e">
        <f t="shared" si="11"/>
        <v>#VALUE!</v>
      </c>
      <c r="AD40" s="7" t="e">
        <f t="shared" si="11"/>
        <v>#VALUE!</v>
      </c>
      <c r="AE40" s="7" t="e">
        <f t="shared" si="11"/>
        <v>#VALUE!</v>
      </c>
      <c r="AF40" s="7" t="e">
        <f t="shared" si="11"/>
        <v>#VALUE!</v>
      </c>
      <c r="AG40" s="7" t="e">
        <f t="shared" si="11"/>
        <v>#VALUE!</v>
      </c>
      <c r="AH40" s="7" t="e">
        <f t="shared" si="11"/>
        <v>#VALUE!</v>
      </c>
    </row>
    <row r="41" spans="1:34" x14ac:dyDescent="0.25">
      <c r="B41" s="5" t="s">
        <v>6</v>
      </c>
      <c r="C41" s="21" t="str">
        <f>Respuestas!C12</f>
        <v>Importancia</v>
      </c>
      <c r="D41" s="18" t="e">
        <f t="shared" si="8"/>
        <v>#VALUE!</v>
      </c>
      <c r="E41" s="13" t="e">
        <f>_xlfn.CONCAT(L$38," (",ROUND(L41,2),")",CHAR(10),CHAR(10),J$38," (",ROUND(J41,2),")",CHAR(10),N$38," (",ROUND(N41,2),")",CHAR(10),O$38," (",ROUND(O41,2),")",CHAR(10),P$38," (",ROUND(P41,2),")")</f>
        <v>#VALUE!</v>
      </c>
      <c r="H41" s="14"/>
      <c r="I41"/>
      <c r="J41" s="7" t="e">
        <f t="shared" ref="J41:P41" si="12">C5*C$28/$B$29/3</f>
        <v>#VALUE!</v>
      </c>
      <c r="K41" s="7" t="e">
        <f t="shared" si="12"/>
        <v>#VALUE!</v>
      </c>
      <c r="L41" s="7" t="e">
        <f t="shared" si="12"/>
        <v>#VALUE!</v>
      </c>
      <c r="M41" s="7" t="e">
        <f t="shared" si="12"/>
        <v>#VALUE!</v>
      </c>
      <c r="N41" s="7" t="e">
        <f t="shared" si="12"/>
        <v>#VALUE!</v>
      </c>
      <c r="O41" s="7" t="e">
        <f t="shared" si="12"/>
        <v>#VALUE!</v>
      </c>
      <c r="P41" s="7" t="e">
        <f t="shared" si="12"/>
        <v>#VALUE!</v>
      </c>
      <c r="Q41" s="7" t="e">
        <f t="shared" ref="Q41:X41" si="13">J5*J$28/$B$30/3</f>
        <v>#VALUE!</v>
      </c>
      <c r="R41" s="7" t="e">
        <f t="shared" si="13"/>
        <v>#VALUE!</v>
      </c>
      <c r="S41" s="7" t="e">
        <f t="shared" si="13"/>
        <v>#VALUE!</v>
      </c>
      <c r="T41" s="7" t="e">
        <f t="shared" si="13"/>
        <v>#VALUE!</v>
      </c>
      <c r="U41" s="7" t="e">
        <f t="shared" si="13"/>
        <v>#VALUE!</v>
      </c>
      <c r="V41" s="7" t="e">
        <f t="shared" si="13"/>
        <v>#VALUE!</v>
      </c>
      <c r="W41" s="7" t="e">
        <f t="shared" si="13"/>
        <v>#VALUE!</v>
      </c>
      <c r="X41" s="7" t="e">
        <f t="shared" si="13"/>
        <v>#VALUE!</v>
      </c>
      <c r="Y41" s="7" t="e">
        <f t="shared" ref="Y41:AH41" si="14">R5*R$28/$B$31/3</f>
        <v>#VALUE!</v>
      </c>
      <c r="Z41" s="7" t="e">
        <f t="shared" si="14"/>
        <v>#VALUE!</v>
      </c>
      <c r="AA41" s="7" t="e">
        <f t="shared" si="14"/>
        <v>#VALUE!</v>
      </c>
      <c r="AB41" s="7" t="e">
        <f t="shared" si="14"/>
        <v>#VALUE!</v>
      </c>
      <c r="AC41" s="7" t="e">
        <f t="shared" si="14"/>
        <v>#VALUE!</v>
      </c>
      <c r="AD41" s="7" t="e">
        <f t="shared" si="14"/>
        <v>#VALUE!</v>
      </c>
      <c r="AE41" s="7" t="e">
        <f t="shared" si="14"/>
        <v>#VALUE!</v>
      </c>
      <c r="AF41" s="7" t="e">
        <f t="shared" si="14"/>
        <v>#VALUE!</v>
      </c>
      <c r="AG41" s="7" t="e">
        <f t="shared" si="14"/>
        <v>#VALUE!</v>
      </c>
      <c r="AH41" s="7" t="e">
        <f t="shared" si="14"/>
        <v>#VALUE!</v>
      </c>
    </row>
    <row r="42" spans="1:34" x14ac:dyDescent="0.25">
      <c r="B42" s="5" t="s">
        <v>7</v>
      </c>
      <c r="C42" s="21" t="str">
        <f>Respuestas!C13</f>
        <v>Importancia</v>
      </c>
      <c r="D42" s="18" t="e">
        <f t="shared" si="8"/>
        <v>#VALUE!</v>
      </c>
      <c r="E42" s="13" t="e">
        <f>_xlfn.CONCAT(M$38," (",ROUND(M42,2),")",CHAR(10),CHAR(10),J$38," (",ROUND(J42,2),")",CHAR(10),N$38," (",ROUND(N42,2),")",CHAR(10),O$38," (",ROUND(O42,2),")",CHAR(10),P$38," (",ROUND(P42,2),")")</f>
        <v>#VALUE!</v>
      </c>
      <c r="H42" s="14"/>
      <c r="I42"/>
      <c r="J42" s="7" t="e">
        <f t="shared" ref="J42:P42" si="15">C6*C$28/$B$29/3</f>
        <v>#VALUE!</v>
      </c>
      <c r="K42" s="7" t="e">
        <f t="shared" si="15"/>
        <v>#VALUE!</v>
      </c>
      <c r="L42" s="7" t="e">
        <f t="shared" si="15"/>
        <v>#VALUE!</v>
      </c>
      <c r="M42" s="7" t="e">
        <f t="shared" si="15"/>
        <v>#VALUE!</v>
      </c>
      <c r="N42" s="7" t="e">
        <f t="shared" si="15"/>
        <v>#VALUE!</v>
      </c>
      <c r="O42" s="7" t="e">
        <f t="shared" si="15"/>
        <v>#VALUE!</v>
      </c>
      <c r="P42" s="7" t="e">
        <f t="shared" si="15"/>
        <v>#VALUE!</v>
      </c>
      <c r="Q42" s="7" t="e">
        <f t="shared" ref="Q42:X42" si="16">J6*J$28/$B$30/3</f>
        <v>#VALUE!</v>
      </c>
      <c r="R42" s="7" t="e">
        <f t="shared" si="16"/>
        <v>#VALUE!</v>
      </c>
      <c r="S42" s="7" t="e">
        <f t="shared" si="16"/>
        <v>#VALUE!</v>
      </c>
      <c r="T42" s="7" t="e">
        <f t="shared" si="16"/>
        <v>#VALUE!</v>
      </c>
      <c r="U42" s="7" t="e">
        <f t="shared" si="16"/>
        <v>#VALUE!</v>
      </c>
      <c r="V42" s="7" t="e">
        <f t="shared" si="16"/>
        <v>#VALUE!</v>
      </c>
      <c r="W42" s="7" t="e">
        <f t="shared" si="16"/>
        <v>#VALUE!</v>
      </c>
      <c r="X42" s="7" t="e">
        <f t="shared" si="16"/>
        <v>#VALUE!</v>
      </c>
      <c r="Y42" s="7" t="e">
        <f t="shared" ref="Y42:AH42" si="17">R6*R$28/$B$31/3</f>
        <v>#VALUE!</v>
      </c>
      <c r="Z42" s="7" t="e">
        <f t="shared" si="17"/>
        <v>#VALUE!</v>
      </c>
      <c r="AA42" s="7" t="e">
        <f t="shared" si="17"/>
        <v>#VALUE!</v>
      </c>
      <c r="AB42" s="7" t="e">
        <f t="shared" si="17"/>
        <v>#VALUE!</v>
      </c>
      <c r="AC42" s="7" t="e">
        <f t="shared" si="17"/>
        <v>#VALUE!</v>
      </c>
      <c r="AD42" s="7" t="e">
        <f t="shared" si="17"/>
        <v>#VALUE!</v>
      </c>
      <c r="AE42" s="7" t="e">
        <f t="shared" si="17"/>
        <v>#VALUE!</v>
      </c>
      <c r="AF42" s="7" t="e">
        <f t="shared" si="17"/>
        <v>#VALUE!</v>
      </c>
      <c r="AG42" s="7" t="e">
        <f t="shared" si="17"/>
        <v>#VALUE!</v>
      </c>
      <c r="AH42" s="7" t="e">
        <f t="shared" si="17"/>
        <v>#VALUE!</v>
      </c>
    </row>
    <row r="43" spans="1:34" x14ac:dyDescent="0.25">
      <c r="B43" s="5" t="s">
        <v>55</v>
      </c>
      <c r="C43" s="21" t="str">
        <f>Respuestas!C14</f>
        <v>Importancia</v>
      </c>
      <c r="D43" s="18" t="e">
        <f t="shared" si="8"/>
        <v>#VALUE!</v>
      </c>
      <c r="E43" s="13" t="e">
        <f>_xlfn.CONCAT(N$38," (",ROUND(N43,2),")",CHAR(10),CHAR(10),P$38," (",ROUND(P43,2),")")</f>
        <v>#VALUE!</v>
      </c>
      <c r="H43" s="14"/>
      <c r="I43"/>
      <c r="J43" s="7" t="e">
        <f t="shared" ref="J43:P43" si="18">C7*C$28/$B$29/3</f>
        <v>#VALUE!</v>
      </c>
      <c r="K43" s="7" t="e">
        <f t="shared" si="18"/>
        <v>#VALUE!</v>
      </c>
      <c r="L43" s="7" t="e">
        <f t="shared" si="18"/>
        <v>#VALUE!</v>
      </c>
      <c r="M43" s="7" t="e">
        <f t="shared" si="18"/>
        <v>#VALUE!</v>
      </c>
      <c r="N43" s="7" t="e">
        <f t="shared" si="18"/>
        <v>#VALUE!</v>
      </c>
      <c r="O43" s="7" t="e">
        <f t="shared" si="18"/>
        <v>#VALUE!</v>
      </c>
      <c r="P43" s="7" t="e">
        <f t="shared" si="18"/>
        <v>#VALUE!</v>
      </c>
      <c r="Q43" s="7" t="e">
        <f t="shared" ref="Q43:X43" si="19">J7*J$28/$B$30/3</f>
        <v>#VALUE!</v>
      </c>
      <c r="R43" s="7" t="e">
        <f t="shared" si="19"/>
        <v>#VALUE!</v>
      </c>
      <c r="S43" s="7" t="e">
        <f t="shared" si="19"/>
        <v>#VALUE!</v>
      </c>
      <c r="T43" s="7" t="e">
        <f t="shared" si="19"/>
        <v>#VALUE!</v>
      </c>
      <c r="U43" s="7" t="e">
        <f t="shared" si="19"/>
        <v>#VALUE!</v>
      </c>
      <c r="V43" s="7" t="e">
        <f t="shared" si="19"/>
        <v>#VALUE!</v>
      </c>
      <c r="W43" s="7" t="e">
        <f t="shared" si="19"/>
        <v>#VALUE!</v>
      </c>
      <c r="X43" s="7" t="e">
        <f t="shared" si="19"/>
        <v>#VALUE!</v>
      </c>
      <c r="Y43" s="7" t="e">
        <f t="shared" ref="Y43:AH43" si="20">R7*R$28/$B$31/3</f>
        <v>#VALUE!</v>
      </c>
      <c r="Z43" s="7" t="e">
        <f t="shared" si="20"/>
        <v>#VALUE!</v>
      </c>
      <c r="AA43" s="7" t="e">
        <f t="shared" si="20"/>
        <v>#VALUE!</v>
      </c>
      <c r="AB43" s="7" t="e">
        <f t="shared" si="20"/>
        <v>#VALUE!</v>
      </c>
      <c r="AC43" s="7" t="e">
        <f t="shared" si="20"/>
        <v>#VALUE!</v>
      </c>
      <c r="AD43" s="7" t="e">
        <f t="shared" si="20"/>
        <v>#VALUE!</v>
      </c>
      <c r="AE43" s="7" t="e">
        <f t="shared" si="20"/>
        <v>#VALUE!</v>
      </c>
      <c r="AF43" s="7" t="e">
        <f t="shared" si="20"/>
        <v>#VALUE!</v>
      </c>
      <c r="AG43" s="7" t="e">
        <f t="shared" si="20"/>
        <v>#VALUE!</v>
      </c>
      <c r="AH43" s="7" t="e">
        <f t="shared" si="20"/>
        <v>#VALUE!</v>
      </c>
    </row>
    <row r="44" spans="1:34" x14ac:dyDescent="0.25">
      <c r="B44" s="5" t="s">
        <v>9</v>
      </c>
      <c r="C44" s="21" t="str">
        <f>Respuestas!C15</f>
        <v>Importancia</v>
      </c>
      <c r="D44" s="18" t="e">
        <f t="shared" si="8"/>
        <v>#VALUE!</v>
      </c>
      <c r="E44" s="13" t="e">
        <f>_xlfn.CONCAT(O$38," (",ROUND(O44,2),")",CHAR(10),CHAR(10),P$38," (",ROUND(P44,2),")")</f>
        <v>#VALUE!</v>
      </c>
      <c r="H44" s="14"/>
      <c r="I44"/>
      <c r="J44" s="7" t="e">
        <f t="shared" ref="J44:P44" si="21">C8*C$28/$B$29/3</f>
        <v>#VALUE!</v>
      </c>
      <c r="K44" s="7" t="e">
        <f t="shared" si="21"/>
        <v>#VALUE!</v>
      </c>
      <c r="L44" s="7" t="e">
        <f t="shared" si="21"/>
        <v>#VALUE!</v>
      </c>
      <c r="M44" s="7" t="e">
        <f t="shared" si="21"/>
        <v>#VALUE!</v>
      </c>
      <c r="N44" s="7" t="e">
        <f t="shared" si="21"/>
        <v>#VALUE!</v>
      </c>
      <c r="O44" s="7" t="e">
        <f t="shared" si="21"/>
        <v>#VALUE!</v>
      </c>
      <c r="P44" s="7" t="e">
        <f t="shared" si="21"/>
        <v>#VALUE!</v>
      </c>
      <c r="Q44" s="7" t="e">
        <f t="shared" ref="Q44:X44" si="22">J8*J$28/$B$30/3</f>
        <v>#VALUE!</v>
      </c>
      <c r="R44" s="7" t="e">
        <f t="shared" si="22"/>
        <v>#VALUE!</v>
      </c>
      <c r="S44" s="7" t="e">
        <f t="shared" si="22"/>
        <v>#VALUE!</v>
      </c>
      <c r="T44" s="7" t="e">
        <f t="shared" si="22"/>
        <v>#VALUE!</v>
      </c>
      <c r="U44" s="7" t="e">
        <f t="shared" si="22"/>
        <v>#VALUE!</v>
      </c>
      <c r="V44" s="7" t="e">
        <f t="shared" si="22"/>
        <v>#VALUE!</v>
      </c>
      <c r="W44" s="7" t="e">
        <f t="shared" si="22"/>
        <v>#VALUE!</v>
      </c>
      <c r="X44" s="7" t="e">
        <f t="shared" si="22"/>
        <v>#VALUE!</v>
      </c>
      <c r="Y44" s="7" t="e">
        <f t="shared" ref="Y44:AH44" si="23">R8*R$28/$B$31/3</f>
        <v>#VALUE!</v>
      </c>
      <c r="Z44" s="7" t="e">
        <f t="shared" si="23"/>
        <v>#VALUE!</v>
      </c>
      <c r="AA44" s="7" t="e">
        <f t="shared" si="23"/>
        <v>#VALUE!</v>
      </c>
      <c r="AB44" s="7" t="e">
        <f t="shared" si="23"/>
        <v>#VALUE!</v>
      </c>
      <c r="AC44" s="7" t="e">
        <f t="shared" si="23"/>
        <v>#VALUE!</v>
      </c>
      <c r="AD44" s="7" t="e">
        <f t="shared" si="23"/>
        <v>#VALUE!</v>
      </c>
      <c r="AE44" s="7" t="e">
        <f t="shared" si="23"/>
        <v>#VALUE!</v>
      </c>
      <c r="AF44" s="7" t="e">
        <f t="shared" si="23"/>
        <v>#VALUE!</v>
      </c>
      <c r="AG44" s="7" t="e">
        <f t="shared" si="23"/>
        <v>#VALUE!</v>
      </c>
      <c r="AH44" s="7" t="e">
        <f t="shared" si="23"/>
        <v>#VALUE!</v>
      </c>
    </row>
    <row r="45" spans="1:34" x14ac:dyDescent="0.25">
      <c r="B45" s="5" t="s">
        <v>10</v>
      </c>
      <c r="C45" s="21" t="str">
        <f>Respuestas!C16</f>
        <v>Importancia</v>
      </c>
      <c r="D45" s="18" t="e">
        <f t="shared" si="8"/>
        <v>#VALUE!</v>
      </c>
      <c r="E45" s="13" t="e">
        <f>_xlfn.CONCAT(P$38," (",ROUND(P45,2),")")</f>
        <v>#VALUE!</v>
      </c>
      <c r="H45" s="14"/>
      <c r="I45"/>
      <c r="J45" s="7" t="e">
        <f t="shared" ref="J45:P45" si="24">C9*C$28/$B$29/3</f>
        <v>#VALUE!</v>
      </c>
      <c r="K45" s="7" t="e">
        <f t="shared" si="24"/>
        <v>#VALUE!</v>
      </c>
      <c r="L45" s="7" t="e">
        <f t="shared" si="24"/>
        <v>#VALUE!</v>
      </c>
      <c r="M45" s="7" t="e">
        <f t="shared" si="24"/>
        <v>#VALUE!</v>
      </c>
      <c r="N45" s="7" t="e">
        <f t="shared" si="24"/>
        <v>#VALUE!</v>
      </c>
      <c r="O45" s="7" t="e">
        <f t="shared" si="24"/>
        <v>#VALUE!</v>
      </c>
      <c r="P45" s="7" t="e">
        <f t="shared" si="24"/>
        <v>#VALUE!</v>
      </c>
      <c r="Q45" s="7" t="e">
        <f t="shared" ref="Q45:X45" si="25">J9*J$28/$B$30/3</f>
        <v>#VALUE!</v>
      </c>
      <c r="R45" s="7" t="e">
        <f t="shared" si="25"/>
        <v>#VALUE!</v>
      </c>
      <c r="S45" s="7" t="e">
        <f t="shared" si="25"/>
        <v>#VALUE!</v>
      </c>
      <c r="T45" s="7" t="e">
        <f t="shared" si="25"/>
        <v>#VALUE!</v>
      </c>
      <c r="U45" s="7" t="e">
        <f t="shared" si="25"/>
        <v>#VALUE!</v>
      </c>
      <c r="V45" s="7" t="e">
        <f t="shared" si="25"/>
        <v>#VALUE!</v>
      </c>
      <c r="W45" s="7" t="e">
        <f t="shared" si="25"/>
        <v>#VALUE!</v>
      </c>
      <c r="X45" s="7" t="e">
        <f t="shared" si="25"/>
        <v>#VALUE!</v>
      </c>
      <c r="Y45" s="7" t="e">
        <f t="shared" ref="Y45:AH45" si="26">R9*R$28/$B$31/3</f>
        <v>#VALUE!</v>
      </c>
      <c r="Z45" s="7" t="e">
        <f t="shared" si="26"/>
        <v>#VALUE!</v>
      </c>
      <c r="AA45" s="7" t="e">
        <f t="shared" si="26"/>
        <v>#VALUE!</v>
      </c>
      <c r="AB45" s="7" t="e">
        <f t="shared" si="26"/>
        <v>#VALUE!</v>
      </c>
      <c r="AC45" s="7" t="e">
        <f t="shared" si="26"/>
        <v>#VALUE!</v>
      </c>
      <c r="AD45" s="7" t="e">
        <f t="shared" si="26"/>
        <v>#VALUE!</v>
      </c>
      <c r="AE45" s="7" t="e">
        <f t="shared" si="26"/>
        <v>#VALUE!</v>
      </c>
      <c r="AF45" s="7" t="e">
        <f t="shared" si="26"/>
        <v>#VALUE!</v>
      </c>
      <c r="AG45" s="7" t="e">
        <f t="shared" si="26"/>
        <v>#VALUE!</v>
      </c>
      <c r="AH45" s="7" t="e">
        <f t="shared" si="26"/>
        <v>#VALUE!</v>
      </c>
    </row>
    <row r="46" spans="1:34" x14ac:dyDescent="0.25">
      <c r="B46" s="5" t="s">
        <v>14</v>
      </c>
      <c r="C46" s="20" t="str">
        <f>Respuestas!C17</f>
        <v>Importancia</v>
      </c>
      <c r="D46" s="19" t="e" cm="1">
        <f t="array" ref="D46">_xlfn.IFS(D47=MAX(D47:D49),D47,D48=MAX(D47:D49),D48,D49=MAX(D47:D49),D49)</f>
        <v>#VALUE!</v>
      </c>
      <c r="E46" s="16" t="e" cm="1">
        <f t="array" ref="E46">_xlfn.IFS(D47=MAX(D47:D49),E47,D48=MAX(D47:D49),E48,D49=MAX(D47:D49),E49)</f>
        <v>#VALUE!</v>
      </c>
      <c r="H46" s="15"/>
      <c r="I46"/>
      <c r="J46" s="7" t="e">
        <f t="shared" ref="J46:P46" si="27">C10*C$28/$B$29/3</f>
        <v>#VALUE!</v>
      </c>
      <c r="K46" s="7" t="e">
        <f t="shared" si="27"/>
        <v>#VALUE!</v>
      </c>
      <c r="L46" s="7" t="e">
        <f t="shared" si="27"/>
        <v>#VALUE!</v>
      </c>
      <c r="M46" s="7" t="e">
        <f t="shared" si="27"/>
        <v>#VALUE!</v>
      </c>
      <c r="N46" s="7" t="e">
        <f t="shared" si="27"/>
        <v>#VALUE!</v>
      </c>
      <c r="O46" s="7" t="e">
        <f t="shared" si="27"/>
        <v>#VALUE!</v>
      </c>
      <c r="P46" s="7" t="e">
        <f t="shared" si="27"/>
        <v>#VALUE!</v>
      </c>
      <c r="Q46" s="7" t="e">
        <f t="shared" ref="Q46:X46" si="28">J10*J$28/$B$30/3</f>
        <v>#VALUE!</v>
      </c>
      <c r="R46" s="7" t="e">
        <f t="shared" si="28"/>
        <v>#VALUE!</v>
      </c>
      <c r="S46" s="7" t="e">
        <f t="shared" si="28"/>
        <v>#VALUE!</v>
      </c>
      <c r="T46" s="7" t="e">
        <f t="shared" si="28"/>
        <v>#VALUE!</v>
      </c>
      <c r="U46" s="7" t="e">
        <f t="shared" si="28"/>
        <v>#VALUE!</v>
      </c>
      <c r="V46" s="7" t="e">
        <f t="shared" si="28"/>
        <v>#VALUE!</v>
      </c>
      <c r="W46" s="7" t="e">
        <f t="shared" si="28"/>
        <v>#VALUE!</v>
      </c>
      <c r="X46" s="7" t="e">
        <f t="shared" si="28"/>
        <v>#VALUE!</v>
      </c>
      <c r="Y46" s="7" t="e">
        <f t="shared" ref="Y46:AH46" si="29">R10*R$28/$B$31/3</f>
        <v>#VALUE!</v>
      </c>
      <c r="Z46" s="7" t="e">
        <f t="shared" si="29"/>
        <v>#VALUE!</v>
      </c>
      <c r="AA46" s="7" t="e">
        <f t="shared" si="29"/>
        <v>#VALUE!</v>
      </c>
      <c r="AB46" s="7" t="e">
        <f t="shared" si="29"/>
        <v>#VALUE!</v>
      </c>
      <c r="AC46" s="7" t="e">
        <f t="shared" si="29"/>
        <v>#VALUE!</v>
      </c>
      <c r="AD46" s="7" t="e">
        <f t="shared" si="29"/>
        <v>#VALUE!</v>
      </c>
      <c r="AE46" s="7" t="e">
        <f t="shared" si="29"/>
        <v>#VALUE!</v>
      </c>
      <c r="AF46" s="7" t="e">
        <f t="shared" si="29"/>
        <v>#VALUE!</v>
      </c>
      <c r="AG46" s="7" t="e">
        <f t="shared" si="29"/>
        <v>#VALUE!</v>
      </c>
      <c r="AH46" s="7" t="e">
        <f t="shared" si="29"/>
        <v>#VALUE!</v>
      </c>
    </row>
    <row r="47" spans="1:34" x14ac:dyDescent="0.25">
      <c r="B47" s="5" t="s">
        <v>5</v>
      </c>
      <c r="C47" s="21" t="str">
        <f>Respuestas!C18</f>
        <v>Importancia</v>
      </c>
      <c r="D47" s="18" t="e">
        <f t="shared" si="8"/>
        <v>#VALUE!</v>
      </c>
      <c r="E47" s="13" t="e">
        <f>_xlfn.CONCAT(R$38," (",ROUND(R47,2),")",CHAR(10),CHAR(10),Q$38," (",ROUND(Q47,2),")",CHAR(10),U$38," (",ROUND(U47,2),")",CHAR(10),V$38," (",ROUND(V47,2),")",CHAR(10),W$38," (",ROUND(W47,2),")",CHAR(10),X$38," (",ROUND(X47,2),")")</f>
        <v>#VALUE!</v>
      </c>
      <c r="H47" s="15"/>
      <c r="I47"/>
      <c r="J47" s="7" t="e">
        <f t="shared" ref="J47:P47" si="30">C11*C$28/$B$29/3</f>
        <v>#VALUE!</v>
      </c>
      <c r="K47" s="7" t="e">
        <f t="shared" si="30"/>
        <v>#VALUE!</v>
      </c>
      <c r="L47" s="7" t="e">
        <f t="shared" si="30"/>
        <v>#VALUE!</v>
      </c>
      <c r="M47" s="7" t="e">
        <f t="shared" si="30"/>
        <v>#VALUE!</v>
      </c>
      <c r="N47" s="7" t="e">
        <f t="shared" si="30"/>
        <v>#VALUE!</v>
      </c>
      <c r="O47" s="7" t="e">
        <f t="shared" si="30"/>
        <v>#VALUE!</v>
      </c>
      <c r="P47" s="7" t="e">
        <f t="shared" si="30"/>
        <v>#VALUE!</v>
      </c>
      <c r="Q47" s="7" t="e">
        <f t="shared" ref="Q47:X47" si="31">J11*J$28/$B$30/3</f>
        <v>#VALUE!</v>
      </c>
      <c r="R47" s="7" t="e">
        <f t="shared" si="31"/>
        <v>#VALUE!</v>
      </c>
      <c r="S47" s="7" t="e">
        <f t="shared" si="31"/>
        <v>#VALUE!</v>
      </c>
      <c r="T47" s="7" t="e">
        <f t="shared" si="31"/>
        <v>#VALUE!</v>
      </c>
      <c r="U47" s="7" t="e">
        <f t="shared" si="31"/>
        <v>#VALUE!</v>
      </c>
      <c r="V47" s="7" t="e">
        <f t="shared" si="31"/>
        <v>#VALUE!</v>
      </c>
      <c r="W47" s="7" t="e">
        <f t="shared" si="31"/>
        <v>#VALUE!</v>
      </c>
      <c r="X47" s="7" t="e">
        <f t="shared" si="31"/>
        <v>#VALUE!</v>
      </c>
      <c r="Y47" s="7" t="e">
        <f t="shared" ref="Y47:AH47" si="32">R11*R$28/$B$31/3</f>
        <v>#VALUE!</v>
      </c>
      <c r="Z47" s="7" t="e">
        <f t="shared" si="32"/>
        <v>#VALUE!</v>
      </c>
      <c r="AA47" s="7" t="e">
        <f t="shared" si="32"/>
        <v>#VALUE!</v>
      </c>
      <c r="AB47" s="7" t="e">
        <f t="shared" si="32"/>
        <v>#VALUE!</v>
      </c>
      <c r="AC47" s="7" t="e">
        <f t="shared" si="32"/>
        <v>#VALUE!</v>
      </c>
      <c r="AD47" s="7" t="e">
        <f t="shared" si="32"/>
        <v>#VALUE!</v>
      </c>
      <c r="AE47" s="7" t="e">
        <f t="shared" si="32"/>
        <v>#VALUE!</v>
      </c>
      <c r="AF47" s="7" t="e">
        <f t="shared" si="32"/>
        <v>#VALUE!</v>
      </c>
      <c r="AG47" s="7" t="e">
        <f t="shared" si="32"/>
        <v>#VALUE!</v>
      </c>
      <c r="AH47" s="7" t="e">
        <f t="shared" si="32"/>
        <v>#VALUE!</v>
      </c>
    </row>
    <row r="48" spans="1:34" x14ac:dyDescent="0.25">
      <c r="B48" s="5" t="s">
        <v>6</v>
      </c>
      <c r="C48" s="21" t="str">
        <f>Respuestas!C19</f>
        <v>Importancia</v>
      </c>
      <c r="D48" s="18" t="e">
        <f t="shared" si="8"/>
        <v>#VALUE!</v>
      </c>
      <c r="E48" s="13" t="e">
        <f>_xlfn.CONCAT(S$38," (",ROUND(S48,2),")",CHAR(10),CHAR(10),Q$38," (",ROUND(Q48,2),")",CHAR(10),U$38," (",ROUND(U48,2),")",CHAR(10),V$38," (",ROUND(V48,2),")",CHAR(10),W$38," (",ROUND(W48,2),")",CHAR(10),X$38," (",ROUND(X48,2),")")</f>
        <v>#VALUE!</v>
      </c>
      <c r="H48" s="15"/>
      <c r="I48"/>
      <c r="J48" s="7" t="e">
        <f t="shared" ref="J48:P48" si="33">C12*C$28/$B$29/3</f>
        <v>#VALUE!</v>
      </c>
      <c r="K48" s="7" t="e">
        <f t="shared" si="33"/>
        <v>#VALUE!</v>
      </c>
      <c r="L48" s="7" t="e">
        <f t="shared" si="33"/>
        <v>#VALUE!</v>
      </c>
      <c r="M48" s="7" t="e">
        <f t="shared" si="33"/>
        <v>#VALUE!</v>
      </c>
      <c r="N48" s="7" t="e">
        <f t="shared" si="33"/>
        <v>#VALUE!</v>
      </c>
      <c r="O48" s="7" t="e">
        <f t="shared" si="33"/>
        <v>#VALUE!</v>
      </c>
      <c r="P48" s="7" t="e">
        <f t="shared" si="33"/>
        <v>#VALUE!</v>
      </c>
      <c r="Q48" s="7" t="e">
        <f t="shared" ref="Q48:X48" si="34">J12*J$28/$B$30/3</f>
        <v>#VALUE!</v>
      </c>
      <c r="R48" s="7" t="e">
        <f t="shared" si="34"/>
        <v>#VALUE!</v>
      </c>
      <c r="S48" s="7" t="e">
        <f t="shared" si="34"/>
        <v>#VALUE!</v>
      </c>
      <c r="T48" s="7" t="e">
        <f t="shared" si="34"/>
        <v>#VALUE!</v>
      </c>
      <c r="U48" s="7" t="e">
        <f t="shared" si="34"/>
        <v>#VALUE!</v>
      </c>
      <c r="V48" s="7" t="e">
        <f t="shared" si="34"/>
        <v>#VALUE!</v>
      </c>
      <c r="W48" s="7" t="e">
        <f t="shared" si="34"/>
        <v>#VALUE!</v>
      </c>
      <c r="X48" s="7" t="e">
        <f t="shared" si="34"/>
        <v>#VALUE!</v>
      </c>
      <c r="Y48" s="7" t="e">
        <f t="shared" ref="Y48:AH48" si="35">R12*R$28/$B$31/3</f>
        <v>#VALUE!</v>
      </c>
      <c r="Z48" s="7" t="e">
        <f t="shared" si="35"/>
        <v>#VALUE!</v>
      </c>
      <c r="AA48" s="7" t="e">
        <f t="shared" si="35"/>
        <v>#VALUE!</v>
      </c>
      <c r="AB48" s="7" t="e">
        <f t="shared" si="35"/>
        <v>#VALUE!</v>
      </c>
      <c r="AC48" s="7" t="e">
        <f t="shared" si="35"/>
        <v>#VALUE!</v>
      </c>
      <c r="AD48" s="7" t="e">
        <f t="shared" si="35"/>
        <v>#VALUE!</v>
      </c>
      <c r="AE48" s="7" t="e">
        <f t="shared" si="35"/>
        <v>#VALUE!</v>
      </c>
      <c r="AF48" s="7" t="e">
        <f t="shared" si="35"/>
        <v>#VALUE!</v>
      </c>
      <c r="AG48" s="7" t="e">
        <f t="shared" si="35"/>
        <v>#VALUE!</v>
      </c>
      <c r="AH48" s="7" t="e">
        <f t="shared" si="35"/>
        <v>#VALUE!</v>
      </c>
    </row>
    <row r="49" spans="2:34" x14ac:dyDescent="0.25">
      <c r="B49" s="5" t="s">
        <v>7</v>
      </c>
      <c r="C49" s="21" t="str">
        <f>Respuestas!C20</f>
        <v>Importancia</v>
      </c>
      <c r="D49" s="18" t="e">
        <f t="shared" si="8"/>
        <v>#VALUE!</v>
      </c>
      <c r="E49" s="13" t="e">
        <f>_xlfn.CONCAT(T$38," (",ROUND(T49,2),")",CHAR(10),CHAR(10),Q$38," (",ROUND(Q49,2),")",CHAR(10),U$38," (",ROUND(U49,2),")",CHAR(10),V$38," (",ROUND(V49,2),")",CHAR(10),W$38," (",ROUND(W49,2),")",CHAR(10),X$38," (",ROUND(X49,2),")")</f>
        <v>#VALUE!</v>
      </c>
      <c r="H49" s="15"/>
      <c r="I49"/>
      <c r="J49" s="7" t="e">
        <f t="shared" ref="J49:P49" si="36">C13*C$28/$B$29/3</f>
        <v>#VALUE!</v>
      </c>
      <c r="K49" s="7" t="e">
        <f t="shared" si="36"/>
        <v>#VALUE!</v>
      </c>
      <c r="L49" s="7" t="e">
        <f t="shared" si="36"/>
        <v>#VALUE!</v>
      </c>
      <c r="M49" s="7" t="e">
        <f t="shared" si="36"/>
        <v>#VALUE!</v>
      </c>
      <c r="N49" s="7" t="e">
        <f t="shared" si="36"/>
        <v>#VALUE!</v>
      </c>
      <c r="O49" s="7" t="e">
        <f t="shared" si="36"/>
        <v>#VALUE!</v>
      </c>
      <c r="P49" s="7" t="e">
        <f t="shared" si="36"/>
        <v>#VALUE!</v>
      </c>
      <c r="Q49" s="7" t="e">
        <f t="shared" ref="Q49:X49" si="37">J13*J$28/$B$30/3</f>
        <v>#VALUE!</v>
      </c>
      <c r="R49" s="7" t="e">
        <f t="shared" si="37"/>
        <v>#VALUE!</v>
      </c>
      <c r="S49" s="7" t="e">
        <f t="shared" si="37"/>
        <v>#VALUE!</v>
      </c>
      <c r="T49" s="7" t="e">
        <f t="shared" si="37"/>
        <v>#VALUE!</v>
      </c>
      <c r="U49" s="7" t="e">
        <f t="shared" si="37"/>
        <v>#VALUE!</v>
      </c>
      <c r="V49" s="7" t="e">
        <f t="shared" si="37"/>
        <v>#VALUE!</v>
      </c>
      <c r="W49" s="7" t="e">
        <f t="shared" si="37"/>
        <v>#VALUE!</v>
      </c>
      <c r="X49" s="7" t="e">
        <f t="shared" si="37"/>
        <v>#VALUE!</v>
      </c>
      <c r="Y49" s="7" t="e">
        <f t="shared" ref="Y49:AH49" si="38">R13*R$28/$B$31/3</f>
        <v>#VALUE!</v>
      </c>
      <c r="Z49" s="7" t="e">
        <f t="shared" si="38"/>
        <v>#VALUE!</v>
      </c>
      <c r="AA49" s="7" t="e">
        <f t="shared" si="38"/>
        <v>#VALUE!</v>
      </c>
      <c r="AB49" s="7" t="e">
        <f t="shared" si="38"/>
        <v>#VALUE!</v>
      </c>
      <c r="AC49" s="7" t="e">
        <f t="shared" si="38"/>
        <v>#VALUE!</v>
      </c>
      <c r="AD49" s="7" t="e">
        <f t="shared" si="38"/>
        <v>#VALUE!</v>
      </c>
      <c r="AE49" s="7" t="e">
        <f t="shared" si="38"/>
        <v>#VALUE!</v>
      </c>
      <c r="AF49" s="7" t="e">
        <f t="shared" si="38"/>
        <v>#VALUE!</v>
      </c>
      <c r="AG49" s="7" t="e">
        <f t="shared" si="38"/>
        <v>#VALUE!</v>
      </c>
      <c r="AH49" s="7" t="e">
        <f t="shared" si="38"/>
        <v>#VALUE!</v>
      </c>
    </row>
    <row r="50" spans="2:34" x14ac:dyDescent="0.25">
      <c r="B50" s="5" t="s">
        <v>56</v>
      </c>
      <c r="C50" s="21" t="str">
        <f>Respuestas!C21</f>
        <v>Importancia</v>
      </c>
      <c r="D50" s="18" t="e">
        <f t="shared" si="8"/>
        <v>#VALUE!</v>
      </c>
      <c r="E50" s="13" t="e">
        <f>_xlfn.CONCAT(U$38," (",ROUND(U50,2),")",CHAR(10),CHAR(10),W$38," (",ROUND(W50,2),")")</f>
        <v>#VALUE!</v>
      </c>
      <c r="H50" s="14"/>
      <c r="I50"/>
      <c r="J50" s="7" t="e">
        <f t="shared" ref="J50:P50" si="39">C14*C$28/$B$29/3</f>
        <v>#VALUE!</v>
      </c>
      <c r="K50" s="7" t="e">
        <f t="shared" si="39"/>
        <v>#VALUE!</v>
      </c>
      <c r="L50" s="7" t="e">
        <f t="shared" si="39"/>
        <v>#VALUE!</v>
      </c>
      <c r="M50" s="7" t="e">
        <f t="shared" si="39"/>
        <v>#VALUE!</v>
      </c>
      <c r="N50" s="7" t="e">
        <f t="shared" si="39"/>
        <v>#VALUE!</v>
      </c>
      <c r="O50" s="7" t="e">
        <f t="shared" si="39"/>
        <v>#VALUE!</v>
      </c>
      <c r="P50" s="7" t="e">
        <f t="shared" si="39"/>
        <v>#VALUE!</v>
      </c>
      <c r="Q50" s="7" t="e">
        <f t="shared" ref="Q50:X50" si="40">J14*J$28/$B$30/3</f>
        <v>#VALUE!</v>
      </c>
      <c r="R50" s="7" t="e">
        <f t="shared" si="40"/>
        <v>#VALUE!</v>
      </c>
      <c r="S50" s="7" t="e">
        <f t="shared" si="40"/>
        <v>#VALUE!</v>
      </c>
      <c r="T50" s="7" t="e">
        <f t="shared" si="40"/>
        <v>#VALUE!</v>
      </c>
      <c r="U50" s="7" t="e">
        <f t="shared" si="40"/>
        <v>#VALUE!</v>
      </c>
      <c r="V50" s="7" t="e">
        <f t="shared" si="40"/>
        <v>#VALUE!</v>
      </c>
      <c r="W50" s="7" t="e">
        <f t="shared" si="40"/>
        <v>#VALUE!</v>
      </c>
      <c r="X50" s="7" t="e">
        <f t="shared" si="40"/>
        <v>#VALUE!</v>
      </c>
      <c r="Y50" s="7" t="e">
        <f t="shared" ref="Y50:AH50" si="41">R14*R$28/$B$31/3</f>
        <v>#VALUE!</v>
      </c>
      <c r="Z50" s="7" t="e">
        <f t="shared" si="41"/>
        <v>#VALUE!</v>
      </c>
      <c r="AA50" s="7" t="e">
        <f t="shared" si="41"/>
        <v>#VALUE!</v>
      </c>
      <c r="AB50" s="7" t="e">
        <f t="shared" si="41"/>
        <v>#VALUE!</v>
      </c>
      <c r="AC50" s="7" t="e">
        <f t="shared" si="41"/>
        <v>#VALUE!</v>
      </c>
      <c r="AD50" s="7" t="e">
        <f t="shared" si="41"/>
        <v>#VALUE!</v>
      </c>
      <c r="AE50" s="7" t="e">
        <f t="shared" si="41"/>
        <v>#VALUE!</v>
      </c>
      <c r="AF50" s="7" t="e">
        <f t="shared" si="41"/>
        <v>#VALUE!</v>
      </c>
      <c r="AG50" s="7" t="e">
        <f t="shared" si="41"/>
        <v>#VALUE!</v>
      </c>
      <c r="AH50" s="7" t="e">
        <f t="shared" si="41"/>
        <v>#VALUE!</v>
      </c>
    </row>
    <row r="51" spans="2:34" x14ac:dyDescent="0.25">
      <c r="B51" s="5" t="s">
        <v>16</v>
      </c>
      <c r="C51" s="21" t="str">
        <f>Respuestas!C22</f>
        <v>Importancia</v>
      </c>
      <c r="D51" s="18" t="e">
        <f t="shared" si="8"/>
        <v>#VALUE!</v>
      </c>
      <c r="E51" s="13" t="e">
        <f>_xlfn.CONCAT(V$38," (",ROUND(V51,2),")",CHAR(10),CHAR(10),W$38," (",ROUND(W51,2),")",CHAR(10),X$38," (",ROUND(X51,2),")")</f>
        <v>#VALUE!</v>
      </c>
      <c r="H51" s="14"/>
      <c r="I51"/>
      <c r="J51" s="7" t="e">
        <f t="shared" ref="J51:P51" si="42">C15*C$28/$B$29/3</f>
        <v>#VALUE!</v>
      </c>
      <c r="K51" s="7" t="e">
        <f t="shared" si="42"/>
        <v>#VALUE!</v>
      </c>
      <c r="L51" s="7" t="e">
        <f t="shared" si="42"/>
        <v>#VALUE!</v>
      </c>
      <c r="M51" s="7" t="e">
        <f t="shared" si="42"/>
        <v>#VALUE!</v>
      </c>
      <c r="N51" s="7" t="e">
        <f t="shared" si="42"/>
        <v>#VALUE!</v>
      </c>
      <c r="O51" s="7" t="e">
        <f t="shared" si="42"/>
        <v>#VALUE!</v>
      </c>
      <c r="P51" s="7" t="e">
        <f t="shared" si="42"/>
        <v>#VALUE!</v>
      </c>
      <c r="Q51" s="7" t="e">
        <f t="shared" ref="Q51:X51" si="43">J15*J$28/$B$30/3</f>
        <v>#VALUE!</v>
      </c>
      <c r="R51" s="7" t="e">
        <f t="shared" si="43"/>
        <v>#VALUE!</v>
      </c>
      <c r="S51" s="7" t="e">
        <f t="shared" si="43"/>
        <v>#VALUE!</v>
      </c>
      <c r="T51" s="7" t="e">
        <f t="shared" si="43"/>
        <v>#VALUE!</v>
      </c>
      <c r="U51" s="7" t="e">
        <f t="shared" si="43"/>
        <v>#VALUE!</v>
      </c>
      <c r="V51" s="7" t="e">
        <f t="shared" si="43"/>
        <v>#VALUE!</v>
      </c>
      <c r="W51" s="7" t="e">
        <f t="shared" si="43"/>
        <v>#VALUE!</v>
      </c>
      <c r="X51" s="7" t="e">
        <f t="shared" si="43"/>
        <v>#VALUE!</v>
      </c>
      <c r="Y51" s="7" t="e">
        <f t="shared" ref="Y51:AH51" si="44">R15*R$28/$B$31/3</f>
        <v>#VALUE!</v>
      </c>
      <c r="Z51" s="7" t="e">
        <f t="shared" si="44"/>
        <v>#VALUE!</v>
      </c>
      <c r="AA51" s="7" t="e">
        <f t="shared" si="44"/>
        <v>#VALUE!</v>
      </c>
      <c r="AB51" s="7" t="e">
        <f t="shared" si="44"/>
        <v>#VALUE!</v>
      </c>
      <c r="AC51" s="7" t="e">
        <f t="shared" si="44"/>
        <v>#VALUE!</v>
      </c>
      <c r="AD51" s="7" t="e">
        <f t="shared" si="44"/>
        <v>#VALUE!</v>
      </c>
      <c r="AE51" s="7" t="e">
        <f t="shared" si="44"/>
        <v>#VALUE!</v>
      </c>
      <c r="AF51" s="7" t="e">
        <f t="shared" si="44"/>
        <v>#VALUE!</v>
      </c>
      <c r="AG51" s="7" t="e">
        <f t="shared" si="44"/>
        <v>#VALUE!</v>
      </c>
      <c r="AH51" s="7" t="e">
        <f t="shared" si="44"/>
        <v>#VALUE!</v>
      </c>
    </row>
    <row r="52" spans="2:34" x14ac:dyDescent="0.25">
      <c r="B52" s="5" t="s">
        <v>57</v>
      </c>
      <c r="C52" s="21" t="str">
        <f>Respuestas!C23</f>
        <v>Importancia</v>
      </c>
      <c r="D52" s="18" t="e">
        <f t="shared" si="8"/>
        <v>#VALUE!</v>
      </c>
      <c r="E52" s="13" t="e">
        <f>_xlfn.CONCAT(CHAR(10),W$38," (",ROUND(W52,2),")")</f>
        <v>#VALUE!</v>
      </c>
      <c r="H52" s="14"/>
      <c r="I52"/>
      <c r="J52" s="7" t="e">
        <f t="shared" ref="J52:P52" si="45">C16*C$28/$B$29/3</f>
        <v>#VALUE!</v>
      </c>
      <c r="K52" s="7" t="e">
        <f t="shared" si="45"/>
        <v>#VALUE!</v>
      </c>
      <c r="L52" s="7" t="e">
        <f t="shared" si="45"/>
        <v>#VALUE!</v>
      </c>
      <c r="M52" s="7" t="e">
        <f t="shared" si="45"/>
        <v>#VALUE!</v>
      </c>
      <c r="N52" s="7" t="e">
        <f t="shared" si="45"/>
        <v>#VALUE!</v>
      </c>
      <c r="O52" s="7" t="e">
        <f t="shared" si="45"/>
        <v>#VALUE!</v>
      </c>
      <c r="P52" s="7" t="e">
        <f t="shared" si="45"/>
        <v>#VALUE!</v>
      </c>
      <c r="Q52" s="7" t="e">
        <f t="shared" ref="Q52:X52" si="46">J16*J$28/$B$30/3</f>
        <v>#VALUE!</v>
      </c>
      <c r="R52" s="7" t="e">
        <f t="shared" si="46"/>
        <v>#VALUE!</v>
      </c>
      <c r="S52" s="7" t="e">
        <f t="shared" si="46"/>
        <v>#VALUE!</v>
      </c>
      <c r="T52" s="7" t="e">
        <f t="shared" si="46"/>
        <v>#VALUE!</v>
      </c>
      <c r="U52" s="7" t="e">
        <f t="shared" si="46"/>
        <v>#VALUE!</v>
      </c>
      <c r="V52" s="7" t="e">
        <f t="shared" si="46"/>
        <v>#VALUE!</v>
      </c>
      <c r="W52" s="7" t="e">
        <f t="shared" si="46"/>
        <v>#VALUE!</v>
      </c>
      <c r="X52" s="7" t="e">
        <f t="shared" si="46"/>
        <v>#VALUE!</v>
      </c>
      <c r="Y52" s="7" t="e">
        <f t="shared" ref="Y52:AH52" si="47">R16*R$28/$B$31/3</f>
        <v>#VALUE!</v>
      </c>
      <c r="Z52" s="7" t="e">
        <f t="shared" si="47"/>
        <v>#VALUE!</v>
      </c>
      <c r="AA52" s="7" t="e">
        <f t="shared" si="47"/>
        <v>#VALUE!</v>
      </c>
      <c r="AB52" s="7" t="e">
        <f t="shared" si="47"/>
        <v>#VALUE!</v>
      </c>
      <c r="AC52" s="7" t="e">
        <f t="shared" si="47"/>
        <v>#VALUE!</v>
      </c>
      <c r="AD52" s="7" t="e">
        <f t="shared" si="47"/>
        <v>#VALUE!</v>
      </c>
      <c r="AE52" s="7" t="e">
        <f t="shared" si="47"/>
        <v>#VALUE!</v>
      </c>
      <c r="AF52" s="7" t="e">
        <f t="shared" si="47"/>
        <v>#VALUE!</v>
      </c>
      <c r="AG52" s="7" t="e">
        <f t="shared" si="47"/>
        <v>#VALUE!</v>
      </c>
      <c r="AH52" s="7" t="e">
        <f t="shared" si="47"/>
        <v>#VALUE!</v>
      </c>
    </row>
    <row r="53" spans="2:34" x14ac:dyDescent="0.25">
      <c r="B53" s="5" t="s">
        <v>54</v>
      </c>
      <c r="C53" s="21" t="str">
        <f>Respuestas!C24</f>
        <v>Importancia</v>
      </c>
      <c r="D53" s="18" t="e">
        <f t="shared" si="8"/>
        <v>#VALUE!</v>
      </c>
      <c r="E53" s="13" t="e">
        <f>_xlfn.CONCAT(W$38," (",ROUND(W53,2),")",CHAR(10),CHAR(10),X$38," (",ROUND(X53,2),")")</f>
        <v>#VALUE!</v>
      </c>
      <c r="H53" s="14"/>
      <c r="I53"/>
      <c r="J53" s="7" t="e">
        <f t="shared" ref="J53:P53" si="48">C17*C$28/$B$29/3</f>
        <v>#VALUE!</v>
      </c>
      <c r="K53" s="7" t="e">
        <f t="shared" si="48"/>
        <v>#VALUE!</v>
      </c>
      <c r="L53" s="7" t="e">
        <f t="shared" si="48"/>
        <v>#VALUE!</v>
      </c>
      <c r="M53" s="7" t="e">
        <f t="shared" si="48"/>
        <v>#VALUE!</v>
      </c>
      <c r="N53" s="7" t="e">
        <f t="shared" si="48"/>
        <v>#VALUE!</v>
      </c>
      <c r="O53" s="7" t="e">
        <f t="shared" si="48"/>
        <v>#VALUE!</v>
      </c>
      <c r="P53" s="7" t="e">
        <f t="shared" si="48"/>
        <v>#VALUE!</v>
      </c>
      <c r="Q53" s="7" t="e">
        <f t="shared" ref="Q53:X53" si="49">J17*J$28/$B$30/3</f>
        <v>#VALUE!</v>
      </c>
      <c r="R53" s="7" t="e">
        <f t="shared" si="49"/>
        <v>#VALUE!</v>
      </c>
      <c r="S53" s="7" t="e">
        <f t="shared" si="49"/>
        <v>#VALUE!</v>
      </c>
      <c r="T53" s="7" t="e">
        <f t="shared" si="49"/>
        <v>#VALUE!</v>
      </c>
      <c r="U53" s="7" t="e">
        <f t="shared" si="49"/>
        <v>#VALUE!</v>
      </c>
      <c r="V53" s="7" t="e">
        <f t="shared" si="49"/>
        <v>#VALUE!</v>
      </c>
      <c r="W53" s="7" t="e">
        <f t="shared" si="49"/>
        <v>#VALUE!</v>
      </c>
      <c r="X53" s="7" t="e">
        <f t="shared" si="49"/>
        <v>#VALUE!</v>
      </c>
      <c r="Y53" s="7" t="e">
        <f t="shared" ref="Y53:AH53" si="50">R17*R$28/$B$31/3</f>
        <v>#VALUE!</v>
      </c>
      <c r="Z53" s="7" t="e">
        <f t="shared" si="50"/>
        <v>#VALUE!</v>
      </c>
      <c r="AA53" s="7" t="e">
        <f t="shared" si="50"/>
        <v>#VALUE!</v>
      </c>
      <c r="AB53" s="7" t="e">
        <f t="shared" si="50"/>
        <v>#VALUE!</v>
      </c>
      <c r="AC53" s="7" t="e">
        <f t="shared" si="50"/>
        <v>#VALUE!</v>
      </c>
      <c r="AD53" s="7" t="e">
        <f t="shared" si="50"/>
        <v>#VALUE!</v>
      </c>
      <c r="AE53" s="7" t="e">
        <f t="shared" si="50"/>
        <v>#VALUE!</v>
      </c>
      <c r="AF53" s="7" t="e">
        <f t="shared" si="50"/>
        <v>#VALUE!</v>
      </c>
      <c r="AG53" s="7" t="e">
        <f t="shared" si="50"/>
        <v>#VALUE!</v>
      </c>
      <c r="AH53" s="7" t="e">
        <f t="shared" si="50"/>
        <v>#VALUE!</v>
      </c>
    </row>
    <row r="54" spans="2:34" x14ac:dyDescent="0.25">
      <c r="B54" s="5" t="s">
        <v>20</v>
      </c>
      <c r="C54" s="20" t="str">
        <f>Respuestas!C25</f>
        <v>Importancia</v>
      </c>
      <c r="D54" s="19" t="e" cm="1">
        <f t="array" ref="D54">_xlfn.IFS(D55=MAX(D55:D57),D55,D56=MAX(D55:D57),D56,D57=MAX(D55:D57),D57)</f>
        <v>#VALUE!</v>
      </c>
      <c r="E54" s="16" t="e" cm="1">
        <f t="array" ref="E54">_xlfn.IFS(D55=MAX(D55:D57),E55,D56=MAX(D55:D57),E56,D57=MAX(D55:D57),E57)</f>
        <v>#VALUE!</v>
      </c>
      <c r="H54" s="15"/>
      <c r="I54"/>
      <c r="J54" s="7" t="e">
        <f t="shared" ref="J54:P54" si="51">C18*C$28/$B$29/3</f>
        <v>#VALUE!</v>
      </c>
      <c r="K54" s="7" t="e">
        <f t="shared" si="51"/>
        <v>#VALUE!</v>
      </c>
      <c r="L54" s="7" t="e">
        <f t="shared" si="51"/>
        <v>#VALUE!</v>
      </c>
      <c r="M54" s="7" t="e">
        <f t="shared" si="51"/>
        <v>#VALUE!</v>
      </c>
      <c r="N54" s="7" t="e">
        <f t="shared" si="51"/>
        <v>#VALUE!</v>
      </c>
      <c r="O54" s="7" t="e">
        <f t="shared" si="51"/>
        <v>#VALUE!</v>
      </c>
      <c r="P54" s="7" t="e">
        <f t="shared" si="51"/>
        <v>#VALUE!</v>
      </c>
      <c r="Q54" s="7" t="e">
        <f t="shared" ref="Q54:X54" si="52">J18*J$28/$B$30/3</f>
        <v>#VALUE!</v>
      </c>
      <c r="R54" s="7" t="e">
        <f t="shared" si="52"/>
        <v>#VALUE!</v>
      </c>
      <c r="S54" s="7" t="e">
        <f t="shared" si="52"/>
        <v>#VALUE!</v>
      </c>
      <c r="T54" s="7" t="e">
        <f t="shared" si="52"/>
        <v>#VALUE!</v>
      </c>
      <c r="U54" s="7" t="e">
        <f t="shared" si="52"/>
        <v>#VALUE!</v>
      </c>
      <c r="V54" s="7" t="e">
        <f t="shared" si="52"/>
        <v>#VALUE!</v>
      </c>
      <c r="W54" s="7" t="e">
        <f t="shared" si="52"/>
        <v>#VALUE!</v>
      </c>
      <c r="X54" s="7" t="e">
        <f t="shared" si="52"/>
        <v>#VALUE!</v>
      </c>
      <c r="Y54" s="7" t="e">
        <f t="shared" ref="Y54:AH54" si="53">R18*R$28/$B$31/3</f>
        <v>#VALUE!</v>
      </c>
      <c r="Z54" s="7" t="e">
        <f t="shared" si="53"/>
        <v>#VALUE!</v>
      </c>
      <c r="AA54" s="7" t="e">
        <f t="shared" si="53"/>
        <v>#VALUE!</v>
      </c>
      <c r="AB54" s="7" t="e">
        <f t="shared" si="53"/>
        <v>#VALUE!</v>
      </c>
      <c r="AC54" s="7" t="e">
        <f t="shared" si="53"/>
        <v>#VALUE!</v>
      </c>
      <c r="AD54" s="7" t="e">
        <f t="shared" si="53"/>
        <v>#VALUE!</v>
      </c>
      <c r="AE54" s="7" t="e">
        <f t="shared" si="53"/>
        <v>#VALUE!</v>
      </c>
      <c r="AF54" s="7" t="e">
        <f t="shared" si="53"/>
        <v>#VALUE!</v>
      </c>
      <c r="AG54" s="7" t="e">
        <f t="shared" si="53"/>
        <v>#VALUE!</v>
      </c>
      <c r="AH54" s="7" t="e">
        <f t="shared" si="53"/>
        <v>#VALUE!</v>
      </c>
    </row>
    <row r="55" spans="2:34" x14ac:dyDescent="0.25">
      <c r="B55" s="5" t="s">
        <v>5</v>
      </c>
      <c r="C55" s="21" t="str">
        <f>Respuestas!C26</f>
        <v>Importancia</v>
      </c>
      <c r="D55" s="18" t="e">
        <f t="shared" si="8"/>
        <v>#VALUE!</v>
      </c>
      <c r="E55" s="13" t="e">
        <f>_xlfn.CONCAT(Z$38," (",ROUND(Z55,2),")",CHAR(10),CHAR(10),Y$38," (",ROUND(Y55,2),")",CHAR(10),AC$38," (",ROUND(AC55,2),")",CHAR(10),AD$38," (",ROUND(AD55,2),")",CHAR(10),AE$38," (",ROUND(AE55,2),")",CHAR(10),AF$38," (",ROUND(AF55,2),")",CHAR(10),AG$38," (",ROUND(AG55,2),")",CHAR(10),AH$38," (",ROUND(AH55,2),")",)</f>
        <v>#VALUE!</v>
      </c>
      <c r="H55" s="15"/>
      <c r="I55"/>
      <c r="J55" s="7" t="e">
        <f t="shared" ref="J55:P55" si="54">C19*C$28/$B$29/3</f>
        <v>#VALUE!</v>
      </c>
      <c r="K55" s="7" t="e">
        <f t="shared" si="54"/>
        <v>#VALUE!</v>
      </c>
      <c r="L55" s="7" t="e">
        <f t="shared" si="54"/>
        <v>#VALUE!</v>
      </c>
      <c r="M55" s="7" t="e">
        <f t="shared" si="54"/>
        <v>#VALUE!</v>
      </c>
      <c r="N55" s="7" t="e">
        <f t="shared" si="54"/>
        <v>#VALUE!</v>
      </c>
      <c r="O55" s="7" t="e">
        <f t="shared" si="54"/>
        <v>#VALUE!</v>
      </c>
      <c r="P55" s="7" t="e">
        <f t="shared" si="54"/>
        <v>#VALUE!</v>
      </c>
      <c r="Q55" s="7" t="e">
        <f t="shared" ref="Q55:X55" si="55">J19*J$28/$B$30/3</f>
        <v>#VALUE!</v>
      </c>
      <c r="R55" s="7" t="e">
        <f t="shared" si="55"/>
        <v>#VALUE!</v>
      </c>
      <c r="S55" s="7" t="e">
        <f t="shared" si="55"/>
        <v>#VALUE!</v>
      </c>
      <c r="T55" s="7" t="e">
        <f t="shared" si="55"/>
        <v>#VALUE!</v>
      </c>
      <c r="U55" s="7" t="e">
        <f t="shared" si="55"/>
        <v>#VALUE!</v>
      </c>
      <c r="V55" s="7" t="e">
        <f t="shared" si="55"/>
        <v>#VALUE!</v>
      </c>
      <c r="W55" s="7" t="e">
        <f t="shared" si="55"/>
        <v>#VALUE!</v>
      </c>
      <c r="X55" s="7" t="e">
        <f t="shared" si="55"/>
        <v>#VALUE!</v>
      </c>
      <c r="Y55" s="7" t="e">
        <f t="shared" ref="Y55:AH55" si="56">R19*R$28/$B$31/3</f>
        <v>#VALUE!</v>
      </c>
      <c r="Z55" s="7" t="e">
        <f t="shared" si="56"/>
        <v>#VALUE!</v>
      </c>
      <c r="AA55" s="7" t="e">
        <f t="shared" si="56"/>
        <v>#VALUE!</v>
      </c>
      <c r="AB55" s="7" t="e">
        <f t="shared" si="56"/>
        <v>#VALUE!</v>
      </c>
      <c r="AC55" s="7" t="e">
        <f t="shared" si="56"/>
        <v>#VALUE!</v>
      </c>
      <c r="AD55" s="7" t="e">
        <f t="shared" si="56"/>
        <v>#VALUE!</v>
      </c>
      <c r="AE55" s="7" t="e">
        <f t="shared" si="56"/>
        <v>#VALUE!</v>
      </c>
      <c r="AF55" s="7" t="e">
        <f t="shared" si="56"/>
        <v>#VALUE!</v>
      </c>
      <c r="AG55" s="7" t="e">
        <f t="shared" si="56"/>
        <v>#VALUE!</v>
      </c>
      <c r="AH55" s="7" t="e">
        <f t="shared" si="56"/>
        <v>#VALUE!</v>
      </c>
    </row>
    <row r="56" spans="2:34" x14ac:dyDescent="0.25">
      <c r="B56" s="5" t="s">
        <v>6</v>
      </c>
      <c r="C56" s="21" t="str">
        <f>Respuestas!C27</f>
        <v>Importancia</v>
      </c>
      <c r="D56" s="18" t="e">
        <f t="shared" si="8"/>
        <v>#VALUE!</v>
      </c>
      <c r="E56" s="13" t="e">
        <f>_xlfn.CONCAT(AA$38," (",ROUND(AA56,2),")",CHAR(10),CHAR(10),Y$38," (",ROUND(Y56,2),")",CHAR(10),AC$38," (",ROUND(AC56,2),")",CHAR(10),AD$38," (",ROUND(AD56,2),")",CHAR(10),AE$38," (",ROUND(AE56,2),")",CHAR(10),AF$38," (",ROUND(AF56,2),")",CHAR(10),AG$38," (",ROUND(AG56,2),")",CHAR(10),AH$38," (",ROUND(AH56,2),")",)</f>
        <v>#VALUE!</v>
      </c>
      <c r="H56" s="15"/>
      <c r="I56"/>
      <c r="J56" s="7" t="e">
        <f t="shared" ref="J56:P56" si="57">C20*C$28/$B$29/3</f>
        <v>#VALUE!</v>
      </c>
      <c r="K56" s="7" t="e">
        <f t="shared" si="57"/>
        <v>#VALUE!</v>
      </c>
      <c r="L56" s="7" t="e">
        <f t="shared" si="57"/>
        <v>#VALUE!</v>
      </c>
      <c r="M56" s="7" t="e">
        <f t="shared" si="57"/>
        <v>#VALUE!</v>
      </c>
      <c r="N56" s="7" t="e">
        <f t="shared" si="57"/>
        <v>#VALUE!</v>
      </c>
      <c r="O56" s="7" t="e">
        <f t="shared" si="57"/>
        <v>#VALUE!</v>
      </c>
      <c r="P56" s="7" t="e">
        <f t="shared" si="57"/>
        <v>#VALUE!</v>
      </c>
      <c r="Q56" s="7" t="e">
        <f t="shared" ref="Q56:X56" si="58">J20*J$28/$B$30/3</f>
        <v>#VALUE!</v>
      </c>
      <c r="R56" s="7" t="e">
        <f t="shared" si="58"/>
        <v>#VALUE!</v>
      </c>
      <c r="S56" s="7" t="e">
        <f t="shared" si="58"/>
        <v>#VALUE!</v>
      </c>
      <c r="T56" s="7" t="e">
        <f t="shared" si="58"/>
        <v>#VALUE!</v>
      </c>
      <c r="U56" s="7" t="e">
        <f t="shared" si="58"/>
        <v>#VALUE!</v>
      </c>
      <c r="V56" s="7" t="e">
        <f t="shared" si="58"/>
        <v>#VALUE!</v>
      </c>
      <c r="W56" s="7" t="e">
        <f t="shared" si="58"/>
        <v>#VALUE!</v>
      </c>
      <c r="X56" s="7" t="e">
        <f t="shared" si="58"/>
        <v>#VALUE!</v>
      </c>
      <c r="Y56" s="7" t="e">
        <f t="shared" ref="Y56:AH56" si="59">R20*R$28/$B$31/3</f>
        <v>#VALUE!</v>
      </c>
      <c r="Z56" s="7" t="e">
        <f t="shared" si="59"/>
        <v>#VALUE!</v>
      </c>
      <c r="AA56" s="7" t="e">
        <f t="shared" si="59"/>
        <v>#VALUE!</v>
      </c>
      <c r="AB56" s="7" t="e">
        <f t="shared" si="59"/>
        <v>#VALUE!</v>
      </c>
      <c r="AC56" s="7" t="e">
        <f t="shared" si="59"/>
        <v>#VALUE!</v>
      </c>
      <c r="AD56" s="7" t="e">
        <f t="shared" si="59"/>
        <v>#VALUE!</v>
      </c>
      <c r="AE56" s="7" t="e">
        <f t="shared" si="59"/>
        <v>#VALUE!</v>
      </c>
      <c r="AF56" s="7" t="e">
        <f t="shared" si="59"/>
        <v>#VALUE!</v>
      </c>
      <c r="AG56" s="7" t="e">
        <f t="shared" si="59"/>
        <v>#VALUE!</v>
      </c>
      <c r="AH56" s="7" t="e">
        <f t="shared" si="59"/>
        <v>#VALUE!</v>
      </c>
    </row>
    <row r="57" spans="2:34" x14ac:dyDescent="0.25">
      <c r="B57" s="5" t="s">
        <v>7</v>
      </c>
      <c r="C57" s="21" t="str">
        <f>Respuestas!C28</f>
        <v>Importancia</v>
      </c>
      <c r="D57" s="18" t="e">
        <f t="shared" si="8"/>
        <v>#VALUE!</v>
      </c>
      <c r="E57" s="13" t="e">
        <f>_xlfn.CONCAT(AB$38," (",ROUND(AB57,2),")",CHAR(10),CHAR(10),Y$38," (",ROUND(Y57,2),")",CHAR(10),AC$38," (",ROUND(AC57,2),")",CHAR(10),AD$38," (",ROUND(AD57,2),")",CHAR(10),AE$38," (",ROUND(AE57,2),")",CHAR(10),AF$38," (",ROUND(AF57,2),")",CHAR(10),AG$38," (",ROUND(AG57,2),")",CHAR(10),AH$38," (",ROUND(AH57,2),")",)</f>
        <v>#VALUE!</v>
      </c>
      <c r="H57" s="15"/>
      <c r="I57"/>
      <c r="J57" s="7" t="e">
        <f t="shared" ref="J57:P57" si="60">C21*C$28/$B$29/3</f>
        <v>#VALUE!</v>
      </c>
      <c r="K57" s="7" t="e">
        <f t="shared" si="60"/>
        <v>#VALUE!</v>
      </c>
      <c r="L57" s="7" t="e">
        <f t="shared" si="60"/>
        <v>#VALUE!</v>
      </c>
      <c r="M57" s="7" t="e">
        <f t="shared" si="60"/>
        <v>#VALUE!</v>
      </c>
      <c r="N57" s="7" t="e">
        <f t="shared" si="60"/>
        <v>#VALUE!</v>
      </c>
      <c r="O57" s="7" t="e">
        <f t="shared" si="60"/>
        <v>#VALUE!</v>
      </c>
      <c r="P57" s="7" t="e">
        <f t="shared" si="60"/>
        <v>#VALUE!</v>
      </c>
      <c r="Q57" s="7" t="e">
        <f t="shared" ref="Q57:X57" si="61">J21*J$28/$B$30/3</f>
        <v>#VALUE!</v>
      </c>
      <c r="R57" s="7" t="e">
        <f t="shared" si="61"/>
        <v>#VALUE!</v>
      </c>
      <c r="S57" s="7" t="e">
        <f t="shared" si="61"/>
        <v>#VALUE!</v>
      </c>
      <c r="T57" s="7" t="e">
        <f t="shared" si="61"/>
        <v>#VALUE!</v>
      </c>
      <c r="U57" s="7" t="e">
        <f t="shared" si="61"/>
        <v>#VALUE!</v>
      </c>
      <c r="V57" s="7" t="e">
        <f t="shared" si="61"/>
        <v>#VALUE!</v>
      </c>
      <c r="W57" s="7" t="e">
        <f t="shared" si="61"/>
        <v>#VALUE!</v>
      </c>
      <c r="X57" s="7" t="e">
        <f t="shared" si="61"/>
        <v>#VALUE!</v>
      </c>
      <c r="Y57" s="7" t="e">
        <f t="shared" ref="Y57:AH57" si="62">R21*R$28/$B$31/3</f>
        <v>#VALUE!</v>
      </c>
      <c r="Z57" s="7" t="e">
        <f t="shared" si="62"/>
        <v>#VALUE!</v>
      </c>
      <c r="AA57" s="7" t="e">
        <f t="shared" si="62"/>
        <v>#VALUE!</v>
      </c>
      <c r="AB57" s="7" t="e">
        <f t="shared" si="62"/>
        <v>#VALUE!</v>
      </c>
      <c r="AC57" s="7" t="e">
        <f t="shared" si="62"/>
        <v>#VALUE!</v>
      </c>
      <c r="AD57" s="7" t="e">
        <f t="shared" si="62"/>
        <v>#VALUE!</v>
      </c>
      <c r="AE57" s="7" t="e">
        <f t="shared" si="62"/>
        <v>#VALUE!</v>
      </c>
      <c r="AF57" s="7" t="e">
        <f t="shared" si="62"/>
        <v>#VALUE!</v>
      </c>
      <c r="AG57" s="7" t="e">
        <f t="shared" si="62"/>
        <v>#VALUE!</v>
      </c>
      <c r="AH57" s="7" t="e">
        <f t="shared" si="62"/>
        <v>#VALUE!</v>
      </c>
    </row>
    <row r="58" spans="2:34" x14ac:dyDescent="0.25">
      <c r="B58" s="5" t="s">
        <v>8</v>
      </c>
      <c r="C58" s="21" t="str">
        <f>Respuestas!C29</f>
        <v>Importancia</v>
      </c>
      <c r="D58" s="18" t="e">
        <f t="shared" si="8"/>
        <v>#VALUE!</v>
      </c>
      <c r="E58" s="13" t="e">
        <f>_xlfn.CONCAT(AC$38," (",ROUND(AC58,2),")",CHAR(10),CHAR(10),AF$38," (",ROUND(AF58,2),")")</f>
        <v>#VALUE!</v>
      </c>
      <c r="H58" s="14"/>
      <c r="I58"/>
      <c r="J58" s="7" t="e">
        <f t="shared" ref="J58:P58" si="63">C22*C$28/$B$29/3</f>
        <v>#VALUE!</v>
      </c>
      <c r="K58" s="7" t="e">
        <f t="shared" si="63"/>
        <v>#VALUE!</v>
      </c>
      <c r="L58" s="7" t="e">
        <f t="shared" si="63"/>
        <v>#VALUE!</v>
      </c>
      <c r="M58" s="7" t="e">
        <f t="shared" si="63"/>
        <v>#VALUE!</v>
      </c>
      <c r="N58" s="7" t="e">
        <f t="shared" si="63"/>
        <v>#VALUE!</v>
      </c>
      <c r="O58" s="7" t="e">
        <f t="shared" si="63"/>
        <v>#VALUE!</v>
      </c>
      <c r="P58" s="7" t="e">
        <f t="shared" si="63"/>
        <v>#VALUE!</v>
      </c>
      <c r="Q58" s="7" t="e">
        <f t="shared" ref="Q58:X58" si="64">J22*J$28/$B$30/3</f>
        <v>#VALUE!</v>
      </c>
      <c r="R58" s="7" t="e">
        <f t="shared" si="64"/>
        <v>#VALUE!</v>
      </c>
      <c r="S58" s="7" t="e">
        <f t="shared" si="64"/>
        <v>#VALUE!</v>
      </c>
      <c r="T58" s="7" t="e">
        <f t="shared" si="64"/>
        <v>#VALUE!</v>
      </c>
      <c r="U58" s="7" t="e">
        <f t="shared" si="64"/>
        <v>#VALUE!</v>
      </c>
      <c r="V58" s="7" t="e">
        <f t="shared" si="64"/>
        <v>#VALUE!</v>
      </c>
      <c r="W58" s="7" t="e">
        <f t="shared" si="64"/>
        <v>#VALUE!</v>
      </c>
      <c r="X58" s="7" t="e">
        <f t="shared" si="64"/>
        <v>#VALUE!</v>
      </c>
      <c r="Y58" s="7" t="e">
        <f t="shared" ref="Y58:AH58" si="65">R22*R$28/$B$31/3</f>
        <v>#VALUE!</v>
      </c>
      <c r="Z58" s="7" t="e">
        <f t="shared" si="65"/>
        <v>#VALUE!</v>
      </c>
      <c r="AA58" s="7" t="e">
        <f t="shared" si="65"/>
        <v>#VALUE!</v>
      </c>
      <c r="AB58" s="7" t="e">
        <f t="shared" si="65"/>
        <v>#VALUE!</v>
      </c>
      <c r="AC58" s="7" t="e">
        <f t="shared" si="65"/>
        <v>#VALUE!</v>
      </c>
      <c r="AD58" s="7" t="e">
        <f t="shared" si="65"/>
        <v>#VALUE!</v>
      </c>
      <c r="AE58" s="7" t="e">
        <f t="shared" si="65"/>
        <v>#VALUE!</v>
      </c>
      <c r="AF58" s="7" t="e">
        <f t="shared" si="65"/>
        <v>#VALUE!</v>
      </c>
      <c r="AG58" s="7" t="e">
        <f t="shared" si="65"/>
        <v>#VALUE!</v>
      </c>
      <c r="AH58" s="7" t="e">
        <f t="shared" si="65"/>
        <v>#VALUE!</v>
      </c>
    </row>
    <row r="59" spans="2:34" x14ac:dyDescent="0.25">
      <c r="B59" s="5" t="s">
        <v>58</v>
      </c>
      <c r="C59" s="21" t="str">
        <f>Respuestas!C30</f>
        <v>Importancia</v>
      </c>
      <c r="D59" s="18" t="e">
        <f t="shared" si="8"/>
        <v>#VALUE!</v>
      </c>
      <c r="E59" s="13" t="e">
        <f>_xlfn.CONCAT(AD$38," (",ROUND(AD59,2),")")</f>
        <v>#VALUE!</v>
      </c>
      <c r="H59" s="14"/>
      <c r="I59"/>
      <c r="J59" s="7" t="e">
        <f t="shared" ref="J59:P59" si="66">C23*C$28/$B$29/3</f>
        <v>#VALUE!</v>
      </c>
      <c r="K59" s="7" t="e">
        <f t="shared" si="66"/>
        <v>#VALUE!</v>
      </c>
      <c r="L59" s="7" t="e">
        <f t="shared" si="66"/>
        <v>#VALUE!</v>
      </c>
      <c r="M59" s="7" t="e">
        <f t="shared" si="66"/>
        <v>#VALUE!</v>
      </c>
      <c r="N59" s="7" t="e">
        <f t="shared" si="66"/>
        <v>#VALUE!</v>
      </c>
      <c r="O59" s="7" t="e">
        <f t="shared" si="66"/>
        <v>#VALUE!</v>
      </c>
      <c r="P59" s="7" t="e">
        <f t="shared" si="66"/>
        <v>#VALUE!</v>
      </c>
      <c r="Q59" s="7" t="e">
        <f t="shared" ref="Q59:X59" si="67">J23*J$28/$B$30/3</f>
        <v>#VALUE!</v>
      </c>
      <c r="R59" s="7" t="e">
        <f t="shared" si="67"/>
        <v>#VALUE!</v>
      </c>
      <c r="S59" s="7" t="e">
        <f t="shared" si="67"/>
        <v>#VALUE!</v>
      </c>
      <c r="T59" s="7" t="e">
        <f t="shared" si="67"/>
        <v>#VALUE!</v>
      </c>
      <c r="U59" s="7" t="e">
        <f t="shared" si="67"/>
        <v>#VALUE!</v>
      </c>
      <c r="V59" s="7" t="e">
        <f t="shared" si="67"/>
        <v>#VALUE!</v>
      </c>
      <c r="W59" s="7" t="e">
        <f t="shared" si="67"/>
        <v>#VALUE!</v>
      </c>
      <c r="X59" s="7" t="e">
        <f t="shared" si="67"/>
        <v>#VALUE!</v>
      </c>
      <c r="Y59" s="7" t="e">
        <f t="shared" ref="Y59:AH59" si="68">R23*R$28/$B$31/3</f>
        <v>#VALUE!</v>
      </c>
      <c r="Z59" s="7" t="e">
        <f t="shared" si="68"/>
        <v>#VALUE!</v>
      </c>
      <c r="AA59" s="7" t="e">
        <f t="shared" si="68"/>
        <v>#VALUE!</v>
      </c>
      <c r="AB59" s="7" t="e">
        <f t="shared" si="68"/>
        <v>#VALUE!</v>
      </c>
      <c r="AC59" s="7" t="e">
        <f t="shared" si="68"/>
        <v>#VALUE!</v>
      </c>
      <c r="AD59" s="7" t="e">
        <f t="shared" si="68"/>
        <v>#VALUE!</v>
      </c>
      <c r="AE59" s="7" t="e">
        <f t="shared" si="68"/>
        <v>#VALUE!</v>
      </c>
      <c r="AF59" s="7" t="e">
        <f t="shared" si="68"/>
        <v>#VALUE!</v>
      </c>
      <c r="AG59" s="7" t="e">
        <f t="shared" si="68"/>
        <v>#VALUE!</v>
      </c>
      <c r="AH59" s="7" t="e">
        <f t="shared" si="68"/>
        <v>#VALUE!</v>
      </c>
    </row>
    <row r="60" spans="2:34" x14ac:dyDescent="0.25">
      <c r="B60" s="5" t="s">
        <v>21</v>
      </c>
      <c r="C60" s="21" t="str">
        <f>Respuestas!C31</f>
        <v>Importancia</v>
      </c>
      <c r="D60" s="18" t="e">
        <f t="shared" si="8"/>
        <v>#VALUE!</v>
      </c>
      <c r="E60" s="13" t="e">
        <f>_xlfn.CONCAT(AE$38," (",ROUND(AE60,2),")",CHAR(10),CHAR(10),AD$38," (",ROUND(AD60,2),")",CHAR(10),AG$38," (",ROUND(AG60,2),")",CHAR(10),)</f>
        <v>#VALUE!</v>
      </c>
      <c r="H60" s="14"/>
      <c r="I60"/>
      <c r="J60" s="7" t="e">
        <f t="shared" ref="J60:P60" si="69">C24*C$28/$B$29/3</f>
        <v>#VALUE!</v>
      </c>
      <c r="K60" s="7" t="e">
        <f t="shared" si="69"/>
        <v>#VALUE!</v>
      </c>
      <c r="L60" s="7" t="e">
        <f t="shared" si="69"/>
        <v>#VALUE!</v>
      </c>
      <c r="M60" s="7" t="e">
        <f t="shared" si="69"/>
        <v>#VALUE!</v>
      </c>
      <c r="N60" s="7" t="e">
        <f t="shared" si="69"/>
        <v>#VALUE!</v>
      </c>
      <c r="O60" s="7" t="e">
        <f t="shared" si="69"/>
        <v>#VALUE!</v>
      </c>
      <c r="P60" s="7" t="e">
        <f t="shared" si="69"/>
        <v>#VALUE!</v>
      </c>
      <c r="Q60" s="7" t="e">
        <f t="shared" ref="Q60:X60" si="70">J24*J$28/$B$30/3</f>
        <v>#VALUE!</v>
      </c>
      <c r="R60" s="7" t="e">
        <f t="shared" si="70"/>
        <v>#VALUE!</v>
      </c>
      <c r="S60" s="7" t="e">
        <f t="shared" si="70"/>
        <v>#VALUE!</v>
      </c>
      <c r="T60" s="7" t="e">
        <f t="shared" si="70"/>
        <v>#VALUE!</v>
      </c>
      <c r="U60" s="7" t="e">
        <f t="shared" si="70"/>
        <v>#VALUE!</v>
      </c>
      <c r="V60" s="7" t="e">
        <f t="shared" si="70"/>
        <v>#VALUE!</v>
      </c>
      <c r="W60" s="7" t="e">
        <f t="shared" si="70"/>
        <v>#VALUE!</v>
      </c>
      <c r="X60" s="7" t="e">
        <f t="shared" si="70"/>
        <v>#VALUE!</v>
      </c>
      <c r="Y60" s="7" t="e">
        <f t="shared" ref="Y60:AH60" si="71">R24*R$28/$B$31/3</f>
        <v>#VALUE!</v>
      </c>
      <c r="Z60" s="7" t="e">
        <f t="shared" si="71"/>
        <v>#VALUE!</v>
      </c>
      <c r="AA60" s="7" t="e">
        <f t="shared" si="71"/>
        <v>#VALUE!</v>
      </c>
      <c r="AB60" s="7" t="e">
        <f t="shared" si="71"/>
        <v>#VALUE!</v>
      </c>
      <c r="AC60" s="7" t="e">
        <f t="shared" si="71"/>
        <v>#VALUE!</v>
      </c>
      <c r="AD60" s="7" t="e">
        <f t="shared" si="71"/>
        <v>#VALUE!</v>
      </c>
      <c r="AE60" s="7" t="e">
        <f t="shared" si="71"/>
        <v>#VALUE!</v>
      </c>
      <c r="AF60" s="7" t="e">
        <f t="shared" si="71"/>
        <v>#VALUE!</v>
      </c>
      <c r="AG60" s="7" t="e">
        <f t="shared" si="71"/>
        <v>#VALUE!</v>
      </c>
      <c r="AH60" s="7" t="e">
        <f t="shared" si="71"/>
        <v>#VALUE!</v>
      </c>
    </row>
    <row r="61" spans="2:34" x14ac:dyDescent="0.25">
      <c r="B61" s="5" t="s">
        <v>59</v>
      </c>
      <c r="C61" s="21" t="str">
        <f>Respuestas!C32</f>
        <v>Importancia</v>
      </c>
      <c r="D61" s="18" t="e">
        <f t="shared" si="8"/>
        <v>#VALUE!</v>
      </c>
      <c r="E61" s="13" t="e">
        <f>_xlfn.CONCAT(AF$38," (",ROUND(AF61,2),")")</f>
        <v>#VALUE!</v>
      </c>
      <c r="H61" s="14"/>
      <c r="I61"/>
      <c r="J61" s="7" t="e">
        <f t="shared" ref="J61:P61" si="72">C25*C$28/$B$29/3</f>
        <v>#VALUE!</v>
      </c>
      <c r="K61" s="7" t="e">
        <f t="shared" si="72"/>
        <v>#VALUE!</v>
      </c>
      <c r="L61" s="7" t="e">
        <f t="shared" si="72"/>
        <v>#VALUE!</v>
      </c>
      <c r="M61" s="7" t="e">
        <f t="shared" si="72"/>
        <v>#VALUE!</v>
      </c>
      <c r="N61" s="7" t="e">
        <f t="shared" si="72"/>
        <v>#VALUE!</v>
      </c>
      <c r="O61" s="7" t="e">
        <f t="shared" si="72"/>
        <v>#VALUE!</v>
      </c>
      <c r="P61" s="7" t="e">
        <f t="shared" si="72"/>
        <v>#VALUE!</v>
      </c>
      <c r="Q61" s="7" t="e">
        <f t="shared" ref="Q61:X61" si="73">J25*J$28/$B$30/3</f>
        <v>#VALUE!</v>
      </c>
      <c r="R61" s="7" t="e">
        <f t="shared" si="73"/>
        <v>#VALUE!</v>
      </c>
      <c r="S61" s="7" t="e">
        <f t="shared" si="73"/>
        <v>#VALUE!</v>
      </c>
      <c r="T61" s="7" t="e">
        <f t="shared" si="73"/>
        <v>#VALUE!</v>
      </c>
      <c r="U61" s="7" t="e">
        <f t="shared" si="73"/>
        <v>#VALUE!</v>
      </c>
      <c r="V61" s="7" t="e">
        <f t="shared" si="73"/>
        <v>#VALUE!</v>
      </c>
      <c r="W61" s="7" t="e">
        <f t="shared" si="73"/>
        <v>#VALUE!</v>
      </c>
      <c r="X61" s="7" t="e">
        <f t="shared" si="73"/>
        <v>#VALUE!</v>
      </c>
      <c r="Y61" s="7" t="e">
        <f t="shared" ref="Y61:AH61" si="74">R25*R$28/$B$31/3</f>
        <v>#VALUE!</v>
      </c>
      <c r="Z61" s="7" t="e">
        <f t="shared" si="74"/>
        <v>#VALUE!</v>
      </c>
      <c r="AA61" s="7" t="e">
        <f t="shared" si="74"/>
        <v>#VALUE!</v>
      </c>
      <c r="AB61" s="7" t="e">
        <f t="shared" si="74"/>
        <v>#VALUE!</v>
      </c>
      <c r="AC61" s="7" t="e">
        <f t="shared" si="74"/>
        <v>#VALUE!</v>
      </c>
      <c r="AD61" s="7" t="e">
        <f t="shared" si="74"/>
        <v>#VALUE!</v>
      </c>
      <c r="AE61" s="7" t="e">
        <f t="shared" si="74"/>
        <v>#VALUE!</v>
      </c>
      <c r="AF61" s="7" t="e">
        <f t="shared" si="74"/>
        <v>#VALUE!</v>
      </c>
      <c r="AG61" s="7" t="e">
        <f t="shared" si="74"/>
        <v>#VALUE!</v>
      </c>
      <c r="AH61" s="7" t="e">
        <f t="shared" si="74"/>
        <v>#VALUE!</v>
      </c>
    </row>
    <row r="62" spans="2:34" x14ac:dyDescent="0.25">
      <c r="B62" s="5" t="s">
        <v>22</v>
      </c>
      <c r="C62" s="21" t="str">
        <f>Respuestas!C33</f>
        <v>Importancia</v>
      </c>
      <c r="D62" s="18" t="e">
        <f t="shared" si="8"/>
        <v>#VALUE!</v>
      </c>
      <c r="E62" s="13" t="e">
        <f>_xlfn.CONCAT(AG$38," (",ROUND(AG62,2),")",CHAR(10),CHAR(10),AD$38," (",ROUND(AD62,2),")",CHAR(10),AH$38," (",ROUND(AH62,2),")",)</f>
        <v>#VALUE!</v>
      </c>
      <c r="H62" s="14"/>
      <c r="I62"/>
      <c r="J62" s="7" t="e">
        <f t="shared" ref="J62:P62" si="75">C26*C$28/$B$29/3</f>
        <v>#VALUE!</v>
      </c>
      <c r="K62" s="7" t="e">
        <f t="shared" si="75"/>
        <v>#VALUE!</v>
      </c>
      <c r="L62" s="7" t="e">
        <f t="shared" si="75"/>
        <v>#VALUE!</v>
      </c>
      <c r="M62" s="7" t="e">
        <f t="shared" si="75"/>
        <v>#VALUE!</v>
      </c>
      <c r="N62" s="7" t="e">
        <f t="shared" si="75"/>
        <v>#VALUE!</v>
      </c>
      <c r="O62" s="7" t="e">
        <f t="shared" si="75"/>
        <v>#VALUE!</v>
      </c>
      <c r="P62" s="7" t="e">
        <f t="shared" si="75"/>
        <v>#VALUE!</v>
      </c>
      <c r="Q62" s="7" t="e">
        <f t="shared" ref="Q62:X62" si="76">J26*J$28/$B$30/3</f>
        <v>#VALUE!</v>
      </c>
      <c r="R62" s="7" t="e">
        <f t="shared" si="76"/>
        <v>#VALUE!</v>
      </c>
      <c r="S62" s="7" t="e">
        <f t="shared" si="76"/>
        <v>#VALUE!</v>
      </c>
      <c r="T62" s="7" t="e">
        <f t="shared" si="76"/>
        <v>#VALUE!</v>
      </c>
      <c r="U62" s="7" t="e">
        <f t="shared" si="76"/>
        <v>#VALUE!</v>
      </c>
      <c r="V62" s="7" t="e">
        <f t="shared" si="76"/>
        <v>#VALUE!</v>
      </c>
      <c r="W62" s="7" t="e">
        <f t="shared" si="76"/>
        <v>#VALUE!</v>
      </c>
      <c r="X62" s="7" t="e">
        <f t="shared" si="76"/>
        <v>#VALUE!</v>
      </c>
      <c r="Y62" s="7" t="e">
        <f t="shared" ref="Y62:AH62" si="77">R26*R$28/$B$31/3</f>
        <v>#VALUE!</v>
      </c>
      <c r="Z62" s="7" t="e">
        <f t="shared" si="77"/>
        <v>#VALUE!</v>
      </c>
      <c r="AA62" s="7" t="e">
        <f t="shared" si="77"/>
        <v>#VALUE!</v>
      </c>
      <c r="AB62" s="7" t="e">
        <f t="shared" si="77"/>
        <v>#VALUE!</v>
      </c>
      <c r="AC62" s="7" t="e">
        <f t="shared" si="77"/>
        <v>#VALUE!</v>
      </c>
      <c r="AD62" s="7" t="e">
        <f t="shared" si="77"/>
        <v>#VALUE!</v>
      </c>
      <c r="AE62" s="7" t="e">
        <f t="shared" si="77"/>
        <v>#VALUE!</v>
      </c>
      <c r="AF62" s="7" t="e">
        <f t="shared" si="77"/>
        <v>#VALUE!</v>
      </c>
      <c r="AG62" s="7" t="e">
        <f t="shared" si="77"/>
        <v>#VALUE!</v>
      </c>
      <c r="AH62" s="7" t="e">
        <f t="shared" si="77"/>
        <v>#VALUE!</v>
      </c>
    </row>
    <row r="63" spans="2:34" x14ac:dyDescent="0.25">
      <c r="B63" s="5" t="s">
        <v>23</v>
      </c>
      <c r="C63" s="21" t="str">
        <f>Respuestas!C34</f>
        <v>Importancia</v>
      </c>
      <c r="D63" s="18" t="e">
        <f t="shared" si="8"/>
        <v>#VALUE!</v>
      </c>
      <c r="E63" s="13" t="e">
        <f>_xlfn.CONCAT(AH$38," (",ROUND(AH63,2),")",CHAR(10),CHAR(10),AD$38," (",ROUND(AD63,2),")",CHAR(10),AH$38," (",ROUND(AH63,2),")",)</f>
        <v>#VALUE!</v>
      </c>
      <c r="H63" s="14"/>
      <c r="I63"/>
      <c r="J63" s="7" t="e">
        <f t="shared" ref="J63:P63" si="78">C27*C$28/$B$29/3</f>
        <v>#VALUE!</v>
      </c>
      <c r="K63" s="7" t="e">
        <f t="shared" si="78"/>
        <v>#VALUE!</v>
      </c>
      <c r="L63" s="7" t="e">
        <f t="shared" si="78"/>
        <v>#VALUE!</v>
      </c>
      <c r="M63" s="7" t="e">
        <f t="shared" si="78"/>
        <v>#VALUE!</v>
      </c>
      <c r="N63" s="7" t="e">
        <f t="shared" si="78"/>
        <v>#VALUE!</v>
      </c>
      <c r="O63" s="7" t="e">
        <f t="shared" si="78"/>
        <v>#VALUE!</v>
      </c>
      <c r="P63" s="7" t="e">
        <f t="shared" si="78"/>
        <v>#VALUE!</v>
      </c>
      <c r="Q63" s="7" t="e">
        <f t="shared" ref="Q63:X63" si="79">J27*J$28/$B$30/3</f>
        <v>#VALUE!</v>
      </c>
      <c r="R63" s="7" t="e">
        <f t="shared" si="79"/>
        <v>#VALUE!</v>
      </c>
      <c r="S63" s="7" t="e">
        <f t="shared" si="79"/>
        <v>#VALUE!</v>
      </c>
      <c r="T63" s="7" t="e">
        <f t="shared" si="79"/>
        <v>#VALUE!</v>
      </c>
      <c r="U63" s="7" t="e">
        <f t="shared" si="79"/>
        <v>#VALUE!</v>
      </c>
      <c r="V63" s="7" t="e">
        <f t="shared" si="79"/>
        <v>#VALUE!</v>
      </c>
      <c r="W63" s="7" t="e">
        <f t="shared" si="79"/>
        <v>#VALUE!</v>
      </c>
      <c r="X63" s="7" t="e">
        <f t="shared" si="79"/>
        <v>#VALUE!</v>
      </c>
      <c r="Y63" s="7" t="e">
        <f t="shared" ref="Y63:AH63" si="80">R27*R$28/$B$31/3</f>
        <v>#VALUE!</v>
      </c>
      <c r="Z63" s="7" t="e">
        <f t="shared" si="80"/>
        <v>#VALUE!</v>
      </c>
      <c r="AA63" s="7" t="e">
        <f t="shared" si="80"/>
        <v>#VALUE!</v>
      </c>
      <c r="AB63" s="7" t="e">
        <f t="shared" si="80"/>
        <v>#VALUE!</v>
      </c>
      <c r="AC63" s="7" t="e">
        <f t="shared" si="80"/>
        <v>#VALUE!</v>
      </c>
      <c r="AD63" s="7" t="e">
        <f t="shared" si="80"/>
        <v>#VALUE!</v>
      </c>
      <c r="AE63" s="7" t="e">
        <f t="shared" si="80"/>
        <v>#VALUE!</v>
      </c>
      <c r="AF63" s="7" t="e">
        <f t="shared" si="80"/>
        <v>#VALUE!</v>
      </c>
      <c r="AG63" s="7" t="e">
        <f t="shared" si="80"/>
        <v>#VALUE!</v>
      </c>
      <c r="AH63" s="7" t="e">
        <f t="shared" si="80"/>
        <v>#VALUE!</v>
      </c>
    </row>
    <row r="149" customFormat="1" x14ac:dyDescent="0.25"/>
    <row r="151" customFormat="1" x14ac:dyDescent="0.25"/>
  </sheetData>
  <mergeCells count="3">
    <mergeCell ref="C1:I1"/>
    <mergeCell ref="J1:Q1"/>
    <mergeCell ref="R1:AA1"/>
  </mergeCells>
  <conditionalFormatting sqref="J39:AH63">
    <cfRule type="cellIs" dxfId="1" priority="2" operator="greaterThan">
      <formula>0</formula>
    </cfRule>
  </conditionalFormatting>
  <conditionalFormatting sqref="J39:AH6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2687D-CA53-43E1-9058-7BF3865A7291}">
  <sheetPr codeName="Hoja4"/>
  <dimension ref="A1:F32"/>
  <sheetViews>
    <sheetView zoomScale="70" zoomScaleNormal="70" workbookViewId="0"/>
  </sheetViews>
  <sheetFormatPr baseColWidth="10" defaultRowHeight="15" x14ac:dyDescent="0.25"/>
  <cols>
    <col min="1" max="1" width="13.7109375" customWidth="1"/>
    <col min="2" max="2" width="25.7109375" bestFit="1" customWidth="1"/>
    <col min="3" max="3" width="19" customWidth="1"/>
    <col min="4" max="4" width="15.85546875" bestFit="1" customWidth="1"/>
    <col min="5" max="5" width="43.42578125" bestFit="1" customWidth="1"/>
    <col min="6" max="6" width="18.85546875" customWidth="1"/>
  </cols>
  <sheetData>
    <row r="1" spans="1:6" ht="30" x14ac:dyDescent="0.25">
      <c r="A1" s="22" t="s">
        <v>0</v>
      </c>
      <c r="B1" s="23" t="s">
        <v>60</v>
      </c>
      <c r="C1" s="23" t="s">
        <v>61</v>
      </c>
      <c r="D1" s="23" t="s">
        <v>62</v>
      </c>
      <c r="E1" s="24" t="s">
        <v>63</v>
      </c>
      <c r="F1" s="23" t="s">
        <v>41</v>
      </c>
    </row>
    <row r="2" spans="1:6" x14ac:dyDescent="0.25">
      <c r="A2" s="32" t="s">
        <v>1</v>
      </c>
      <c r="B2" s="26" t="str">
        <f>Propagacion!B39</f>
        <v>Recibir Ayuda</v>
      </c>
      <c r="C2" s="21" t="str">
        <f>Propagacion!C39</f>
        <v>Importancia</v>
      </c>
      <c r="D2" s="25" t="e">
        <f>Propagacion!D39</f>
        <v>#VALUE!</v>
      </c>
      <c r="E2" s="13" t="e">
        <f>Propagacion!E39</f>
        <v>#VALUE!</v>
      </c>
      <c r="F2" s="27" t="s">
        <v>64</v>
      </c>
    </row>
    <row r="3" spans="1:6" x14ac:dyDescent="0.25">
      <c r="A3" s="32"/>
      <c r="B3" s="26" t="str">
        <f>Propagacion!B40</f>
        <v>Telefono</v>
      </c>
      <c r="C3" s="21" t="str">
        <f>Propagacion!C40</f>
        <v>Importancia</v>
      </c>
      <c r="D3" s="25" t="e">
        <f>Propagacion!D40</f>
        <v>#VALUE!</v>
      </c>
      <c r="E3" s="13" t="e">
        <f>Propagacion!E40</f>
        <v>#VALUE!</v>
      </c>
      <c r="F3" s="27" t="s">
        <v>64</v>
      </c>
    </row>
    <row r="4" spans="1:6" x14ac:dyDescent="0.25">
      <c r="A4" s="32"/>
      <c r="B4" s="26" t="str">
        <f>Propagacion!B41</f>
        <v>Chat</v>
      </c>
      <c r="C4" s="21" t="str">
        <f>Propagacion!C41</f>
        <v>Importancia</v>
      </c>
      <c r="D4" s="25" t="e">
        <f>Propagacion!D41</f>
        <v>#VALUE!</v>
      </c>
      <c r="E4" s="13" t="e">
        <f>Propagacion!E41</f>
        <v>#VALUE!</v>
      </c>
      <c r="F4" s="27" t="s">
        <v>64</v>
      </c>
    </row>
    <row r="5" spans="1:6" x14ac:dyDescent="0.25">
      <c r="A5" s="32"/>
      <c r="B5" s="26" t="str">
        <f>Propagacion!B42</f>
        <v>VideoChat</v>
      </c>
      <c r="C5" s="21" t="str">
        <f>Propagacion!C42</f>
        <v>Importancia</v>
      </c>
      <c r="D5" s="25" t="e">
        <f>Propagacion!D42</f>
        <v>#VALUE!</v>
      </c>
      <c r="E5" s="13" t="e">
        <f>Propagacion!E42</f>
        <v>#VALUE!</v>
      </c>
      <c r="F5" s="27" t="s">
        <v>64</v>
      </c>
    </row>
    <row r="6" spans="1:6" x14ac:dyDescent="0.25">
      <c r="A6" s="32"/>
      <c r="B6" s="26" t="str">
        <f>Propagacion!B43</f>
        <v>Atencion Inmediata</v>
      </c>
      <c r="C6" s="21" t="str">
        <f>Propagacion!C43</f>
        <v>Importancia</v>
      </c>
      <c r="D6" s="25" t="e">
        <f>Propagacion!D43</f>
        <v>#VALUE!</v>
      </c>
      <c r="E6" s="13" t="e">
        <f>Propagacion!E43</f>
        <v>#VALUE!</v>
      </c>
      <c r="F6" s="27" t="s">
        <v>64</v>
      </c>
    </row>
    <row r="7" spans="1:6" x14ac:dyDescent="0.25">
      <c r="A7" s="32"/>
      <c r="B7" s="26" t="str">
        <f>Propagacion!B44</f>
        <v>Anonimato</v>
      </c>
      <c r="C7" s="21" t="str">
        <f>Propagacion!C44</f>
        <v>Importancia</v>
      </c>
      <c r="D7" s="25" t="e">
        <f>Propagacion!D44</f>
        <v>#VALUE!</v>
      </c>
      <c r="E7" s="13" t="e">
        <f>Propagacion!E44</f>
        <v>#VALUE!</v>
      </c>
      <c r="F7" s="27" t="s">
        <v>64</v>
      </c>
    </row>
    <row r="8" spans="1:6" x14ac:dyDescent="0.25">
      <c r="A8" s="32"/>
      <c r="B8" s="26" t="str">
        <f>Propagacion!B45</f>
        <v>Confortable</v>
      </c>
      <c r="C8" s="21" t="str">
        <f>Propagacion!C45</f>
        <v>Importancia</v>
      </c>
      <c r="D8" s="25" t="e">
        <f>Propagacion!D45</f>
        <v>#VALUE!</v>
      </c>
      <c r="E8" s="13" t="e">
        <f>Propagacion!E45</f>
        <v>#VALUE!</v>
      </c>
      <c r="F8" s="27" t="s">
        <v>64</v>
      </c>
    </row>
    <row r="9" spans="1:6" x14ac:dyDescent="0.25">
      <c r="A9" s="1"/>
    </row>
    <row r="11" spans="1:6" ht="30" x14ac:dyDescent="0.25">
      <c r="A11" s="22" t="s">
        <v>0</v>
      </c>
      <c r="B11" s="23" t="s">
        <v>60</v>
      </c>
      <c r="C11" s="23" t="s">
        <v>61</v>
      </c>
      <c r="D11" s="23" t="s">
        <v>62</v>
      </c>
      <c r="E11" s="24" t="s">
        <v>63</v>
      </c>
    </row>
    <row r="12" spans="1:6" x14ac:dyDescent="0.25">
      <c r="A12" s="32" t="s">
        <v>12</v>
      </c>
      <c r="B12" s="26" t="str">
        <f>Propagacion!B46</f>
        <v>Proveer Ayuda</v>
      </c>
      <c r="C12" s="21" t="str">
        <f>Propagacion!C46</f>
        <v>Importancia</v>
      </c>
      <c r="D12" s="25" t="e">
        <f>Propagacion!D46</f>
        <v>#VALUE!</v>
      </c>
      <c r="E12" s="13" t="e">
        <f>Propagacion!E46</f>
        <v>#VALUE!</v>
      </c>
      <c r="F12" s="27" t="s">
        <v>64</v>
      </c>
    </row>
    <row r="13" spans="1:6" x14ac:dyDescent="0.25">
      <c r="A13" s="32"/>
      <c r="B13" s="26" t="str">
        <f>Propagacion!B47</f>
        <v>Telefono</v>
      </c>
      <c r="C13" s="21" t="str">
        <f>Propagacion!C47</f>
        <v>Importancia</v>
      </c>
      <c r="D13" s="25" t="e">
        <f>Propagacion!D47</f>
        <v>#VALUE!</v>
      </c>
      <c r="E13" s="13" t="e">
        <f>Propagacion!E47</f>
        <v>#VALUE!</v>
      </c>
      <c r="F13" s="27" t="s">
        <v>64</v>
      </c>
    </row>
    <row r="14" spans="1:6" x14ac:dyDescent="0.25">
      <c r="A14" s="32"/>
      <c r="B14" s="26" t="str">
        <f>Propagacion!B48</f>
        <v>Chat</v>
      </c>
      <c r="C14" s="21" t="str">
        <f>Propagacion!C48</f>
        <v>Importancia</v>
      </c>
      <c r="D14" s="25" t="e">
        <f>Propagacion!D48</f>
        <v>#VALUE!</v>
      </c>
      <c r="E14" s="13" t="e">
        <f>Propagacion!E48</f>
        <v>#VALUE!</v>
      </c>
      <c r="F14" s="27" t="s">
        <v>64</v>
      </c>
    </row>
    <row r="15" spans="1:6" x14ac:dyDescent="0.25">
      <c r="A15" s="32"/>
      <c r="B15" s="26" t="str">
        <f>Propagacion!B49</f>
        <v>VideoChat</v>
      </c>
      <c r="C15" s="21" t="str">
        <f>Propagacion!C49</f>
        <v>Importancia</v>
      </c>
      <c r="D15" s="25" t="e">
        <f>Propagacion!D49</f>
        <v>#VALUE!</v>
      </c>
      <c r="E15" s="13" t="e">
        <f>Propagacion!E49</f>
        <v>#VALUE!</v>
      </c>
      <c r="F15" s="27" t="s">
        <v>64</v>
      </c>
    </row>
    <row r="16" spans="1:6" x14ac:dyDescent="0.25">
      <c r="A16" s="32"/>
      <c r="B16" s="26" t="str">
        <f>Propagacion!B50</f>
        <v>Ayuda de calidad</v>
      </c>
      <c r="C16" s="21" t="str">
        <f>Propagacion!C50</f>
        <v>Importancia</v>
      </c>
      <c r="D16" s="25" t="e">
        <f>Propagacion!D50</f>
        <v>#VALUE!</v>
      </c>
      <c r="E16" s="13" t="e">
        <f>Propagacion!E50</f>
        <v>#VALUE!</v>
      </c>
      <c r="F16" s="27" t="s">
        <v>64</v>
      </c>
    </row>
    <row r="17" spans="1:6" x14ac:dyDescent="0.25">
      <c r="A17" s="32"/>
      <c r="B17" s="26" t="str">
        <f>Propagacion!B51</f>
        <v>Ayudar a muchos</v>
      </c>
      <c r="C17" s="21" t="str">
        <f>Propagacion!C51</f>
        <v>Importancia</v>
      </c>
      <c r="D17" s="25" t="e">
        <f>Propagacion!D51</f>
        <v>#VALUE!</v>
      </c>
      <c r="E17" s="13" t="e">
        <f>Propagacion!E51</f>
        <v>#VALUE!</v>
      </c>
      <c r="F17" s="27" t="s">
        <v>64</v>
      </c>
    </row>
    <row r="18" spans="1:6" ht="30" x14ac:dyDescent="0.25">
      <c r="A18" s="32"/>
      <c r="B18" s="26" t="str">
        <f>Propagacion!B52</f>
        <v>Sentirse satisfecho con la ayuda prestada</v>
      </c>
      <c r="C18" s="21" t="str">
        <f>Propagacion!C52</f>
        <v>Importancia</v>
      </c>
      <c r="D18" s="25" t="e">
        <f>Propagacion!D52</f>
        <v>#VALUE!</v>
      </c>
      <c r="E18" s="13" t="e">
        <f>Propagacion!E52</f>
        <v>#VALUE!</v>
      </c>
      <c r="F18" s="27" t="s">
        <v>64</v>
      </c>
    </row>
    <row r="19" spans="1:6" x14ac:dyDescent="0.25">
      <c r="A19" s="32"/>
      <c r="B19" s="26" t="str">
        <f>Propagacion!B53</f>
        <v>Evitar estresarse</v>
      </c>
      <c r="C19" s="21" t="str">
        <f>Propagacion!C53</f>
        <v>Importancia</v>
      </c>
      <c r="D19" s="25" t="e">
        <f>Propagacion!D53</f>
        <v>#VALUE!</v>
      </c>
      <c r="E19" s="13" t="e">
        <f>Propagacion!E53</f>
        <v>#VALUE!</v>
      </c>
      <c r="F19" s="27" t="s">
        <v>64</v>
      </c>
    </row>
    <row r="22" spans="1:6" ht="30" x14ac:dyDescent="0.25">
      <c r="A22" s="22" t="s">
        <v>0</v>
      </c>
      <c r="B22" s="22" t="s">
        <v>60</v>
      </c>
      <c r="C22" s="23" t="s">
        <v>61</v>
      </c>
      <c r="D22" s="23" t="s">
        <v>62</v>
      </c>
      <c r="E22" s="24" t="s">
        <v>63</v>
      </c>
    </row>
    <row r="23" spans="1:6" x14ac:dyDescent="0.25">
      <c r="A23" s="33" t="s">
        <v>24</v>
      </c>
      <c r="B23" s="26" t="str">
        <f>Propagacion!B54</f>
        <v>Ofrecer ayuda emocional</v>
      </c>
      <c r="C23" s="21" t="str">
        <f>Propagacion!C54</f>
        <v>Importancia</v>
      </c>
      <c r="D23" s="25" t="e">
        <f>Propagacion!D54</f>
        <v>#VALUE!</v>
      </c>
      <c r="E23" s="13" t="e">
        <f>Propagacion!E54</f>
        <v>#VALUE!</v>
      </c>
      <c r="F23" s="27" t="s">
        <v>64</v>
      </c>
    </row>
    <row r="24" spans="1:6" x14ac:dyDescent="0.25">
      <c r="A24" s="33"/>
      <c r="B24" s="26" t="str">
        <f>Propagacion!B55</f>
        <v>Telefono</v>
      </c>
      <c r="C24" s="21" t="str">
        <f>Propagacion!C55</f>
        <v>Importancia</v>
      </c>
      <c r="D24" s="25" t="e">
        <f>Propagacion!D55</f>
        <v>#VALUE!</v>
      </c>
      <c r="E24" s="13" t="e">
        <f>Propagacion!E55</f>
        <v>#VALUE!</v>
      </c>
      <c r="F24" s="27" t="s">
        <v>64</v>
      </c>
    </row>
    <row r="25" spans="1:6" x14ac:dyDescent="0.25">
      <c r="A25" s="33"/>
      <c r="B25" s="26" t="str">
        <f>Propagacion!B56</f>
        <v>Chat</v>
      </c>
      <c r="C25" s="21" t="str">
        <f>Propagacion!C56</f>
        <v>Importancia</v>
      </c>
      <c r="D25" s="25" t="e">
        <f>Propagacion!D56</f>
        <v>#VALUE!</v>
      </c>
      <c r="E25" s="13" t="e">
        <f>Propagacion!E56</f>
        <v>#VALUE!</v>
      </c>
      <c r="F25" s="27" t="s">
        <v>64</v>
      </c>
    </row>
    <row r="26" spans="1:6" x14ac:dyDescent="0.25">
      <c r="A26" s="33"/>
      <c r="B26" s="26" t="str">
        <f>Propagacion!B57</f>
        <v>VideoChat</v>
      </c>
      <c r="C26" s="21" t="str">
        <f>Propagacion!C57</f>
        <v>Importancia</v>
      </c>
      <c r="D26" s="25" t="e">
        <f>Propagacion!D57</f>
        <v>#VALUE!</v>
      </c>
      <c r="E26" s="13" t="e">
        <f>Propagacion!E57</f>
        <v>#VALUE!</v>
      </c>
      <c r="F26" s="27" t="s">
        <v>64</v>
      </c>
    </row>
    <row r="27" spans="1:6" x14ac:dyDescent="0.25">
      <c r="A27" s="33"/>
      <c r="B27" s="26" t="str">
        <f>Propagacion!B58</f>
        <v>Inmediatez</v>
      </c>
      <c r="C27" s="21" t="str">
        <f>Propagacion!C58</f>
        <v>Importancia</v>
      </c>
      <c r="D27" s="25" t="e">
        <f>Propagacion!D58</f>
        <v>#VALUE!</v>
      </c>
      <c r="E27" s="13" t="e">
        <f>Propagacion!E58</f>
        <v>#VALUE!</v>
      </c>
      <c r="F27" s="27" t="s">
        <v>64</v>
      </c>
    </row>
    <row r="28" spans="1:6" ht="45" customHeight="1" x14ac:dyDescent="0.25">
      <c r="A28" s="33"/>
      <c r="B28" s="26" t="str">
        <f>Propagacion!B59</f>
        <v>Ayudar a tanta gente como sea posible</v>
      </c>
      <c r="C28" s="21" t="str">
        <f>Propagacion!C59</f>
        <v>Importancia</v>
      </c>
      <c r="D28" s="25" t="e">
        <f>Propagacion!D59</f>
        <v>#VALUE!</v>
      </c>
      <c r="E28" s="13" t="e">
        <f>Propagacion!E59</f>
        <v>#VALUE!</v>
      </c>
      <c r="F28" s="27" t="s">
        <v>64</v>
      </c>
    </row>
    <row r="29" spans="1:6" ht="45" customHeight="1" x14ac:dyDescent="0.25">
      <c r="A29" s="33"/>
      <c r="B29" s="26" t="str">
        <f>Propagacion!B60</f>
        <v>Seguridad</v>
      </c>
      <c r="C29" s="21" t="str">
        <f>Propagacion!C60</f>
        <v>Importancia</v>
      </c>
      <c r="D29" s="25" t="e">
        <f>Propagacion!D60</f>
        <v>#VALUE!</v>
      </c>
      <c r="E29" s="13" t="e">
        <f>Propagacion!E60</f>
        <v>#VALUE!</v>
      </c>
      <c r="F29" s="27" t="s">
        <v>64</v>
      </c>
    </row>
    <row r="30" spans="1:6" ht="45" customHeight="1" x14ac:dyDescent="0.25">
      <c r="A30" s="33"/>
      <c r="B30" s="26" t="str">
        <f>Propagacion!B61</f>
        <v>Ofrecer ayuda de calidad</v>
      </c>
      <c r="C30" s="21" t="str">
        <f>Propagacion!C61</f>
        <v>Importancia</v>
      </c>
      <c r="D30" s="25" t="e">
        <f>Propagacion!D61</f>
        <v>#VALUE!</v>
      </c>
      <c r="E30" s="13" t="e">
        <f>Propagacion!E61</f>
        <v>#VALUE!</v>
      </c>
      <c r="F30" s="27" t="s">
        <v>64</v>
      </c>
    </row>
    <row r="31" spans="1:6" ht="45" customHeight="1" x14ac:dyDescent="0.25">
      <c r="A31" s="33"/>
      <c r="B31" s="26" t="str">
        <f>Propagacion!B62</f>
        <v>Evitar escandalos</v>
      </c>
      <c r="C31" s="21" t="str">
        <f>Propagacion!C62</f>
        <v>Importancia</v>
      </c>
      <c r="D31" s="25" t="e">
        <f>Propagacion!D62</f>
        <v>#VALUE!</v>
      </c>
      <c r="E31" s="13" t="e">
        <f>Propagacion!E62</f>
        <v>#VALUE!</v>
      </c>
      <c r="F31" s="27" t="s">
        <v>64</v>
      </c>
    </row>
    <row r="32" spans="1:6" ht="45" customHeight="1" x14ac:dyDescent="0.25">
      <c r="A32" s="33"/>
      <c r="B32" s="26" t="str">
        <f>Propagacion!B63</f>
        <v>Incrementar fondos</v>
      </c>
      <c r="C32" s="21" t="str">
        <f>Propagacion!C63</f>
        <v>Importancia</v>
      </c>
      <c r="D32" s="25" t="e">
        <f>Propagacion!D63</f>
        <v>#VALUE!</v>
      </c>
      <c r="E32" s="13" t="e">
        <f>Propagacion!E63</f>
        <v>#VALUE!</v>
      </c>
      <c r="F32" s="27" t="s">
        <v>64</v>
      </c>
    </row>
  </sheetData>
  <mergeCells count="3">
    <mergeCell ref="A2:A8"/>
    <mergeCell ref="A12:A19"/>
    <mergeCell ref="A23:A32"/>
  </mergeCells>
  <dataValidations count="1">
    <dataValidation type="list" allowBlank="1" showErrorMessage="1" sqref="F12:F19 F2:F8 F23:F32" xr:uid="{2C01E37D-6028-4797-980F-F9142930BF8B}">
      <formula1>Evaluar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Acciones a realizar</vt:lpstr>
      <vt:lpstr>Respuestas</vt:lpstr>
      <vt:lpstr>Propagacion</vt:lpstr>
      <vt:lpstr>Evaluacion</vt:lpstr>
      <vt:lpstr>certeza</vt:lpstr>
      <vt:lpstr>Evaluar</vt:lpstr>
      <vt:lpstr>Importancias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Khanx Kenovis</dc:creator>
  <cp:lastModifiedBy>Khanx Kenovis</cp:lastModifiedBy>
  <dcterms:created xsi:type="dcterms:W3CDTF">2015-06-05T18:19:34Z</dcterms:created>
  <dcterms:modified xsi:type="dcterms:W3CDTF">2021-10-25T08:33:11Z</dcterms:modified>
</cp:coreProperties>
</file>