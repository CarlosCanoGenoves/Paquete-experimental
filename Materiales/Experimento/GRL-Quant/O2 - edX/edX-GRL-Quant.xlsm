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Experimento ISE\O2 - edX\GRL-Quant\"/>
    </mc:Choice>
  </mc:AlternateContent>
  <xr:revisionPtr revIDLastSave="0" documentId="13_ncr:1_{980FFB47-5746-497F-A312-B3AEA30C5515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Acciones a realizar" sheetId="1" r:id="rId1"/>
    <sheet name="Respuestas" sheetId="3" r:id="rId2"/>
    <sheet name="Propagacion" sheetId="4" r:id="rId3"/>
    <sheet name="Evaluacion" sheetId="5" r:id="rId4"/>
  </sheets>
  <definedNames>
    <definedName name="certeza">Respuestas!$F$1:$F$5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3" l="1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10" i="3"/>
  <c r="B13" i="5"/>
  <c r="B14" i="5"/>
  <c r="B15" i="5"/>
  <c r="B16" i="5"/>
  <c r="B17" i="5"/>
  <c r="B2" i="5"/>
  <c r="B3" i="5"/>
  <c r="B4" i="5"/>
  <c r="B5" i="5"/>
  <c r="B6" i="5"/>
  <c r="B7" i="5"/>
  <c r="B8" i="5"/>
  <c r="B21" i="5"/>
  <c r="B22" i="5"/>
  <c r="B23" i="5"/>
  <c r="B24" i="5"/>
  <c r="B25" i="5"/>
  <c r="B26" i="5"/>
  <c r="B27" i="5"/>
  <c r="B28" i="5"/>
  <c r="B12" i="5"/>
  <c r="C34" i="4" l="1"/>
  <c r="C12" i="5" s="1"/>
  <c r="C35" i="4"/>
  <c r="C13" i="5" s="1"/>
  <c r="C36" i="4"/>
  <c r="C14" i="5" s="1"/>
  <c r="C37" i="4"/>
  <c r="C15" i="5" s="1"/>
  <c r="C38" i="4"/>
  <c r="C16" i="5" s="1"/>
  <c r="C39" i="4"/>
  <c r="C17" i="5" s="1"/>
  <c r="C40" i="4"/>
  <c r="C2" i="5" s="1"/>
  <c r="C41" i="4"/>
  <c r="C3" i="5" s="1"/>
  <c r="C42" i="4"/>
  <c r="C4" i="5" s="1"/>
  <c r="C43" i="4"/>
  <c r="C5" i="5" s="1"/>
  <c r="C44" i="4"/>
  <c r="C6" i="5" s="1"/>
  <c r="C45" i="4"/>
  <c r="C7" i="5" s="1"/>
  <c r="C46" i="4"/>
  <c r="C8" i="5" s="1"/>
  <c r="C47" i="4"/>
  <c r="C21" i="5" s="1"/>
  <c r="C48" i="4"/>
  <c r="C22" i="5" s="1"/>
  <c r="C49" i="4"/>
  <c r="C23" i="5" s="1"/>
  <c r="C50" i="4"/>
  <c r="C24" i="5" s="1"/>
  <c r="C51" i="4"/>
  <c r="C25" i="5" s="1"/>
  <c r="C52" i="4"/>
  <c r="C26" i="5" s="1"/>
  <c r="C53" i="4"/>
  <c r="C27" i="5" s="1"/>
  <c r="C54" i="4"/>
  <c r="C28" i="5" s="1"/>
  <c r="AB4" i="4" l="1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3" i="4"/>
  <c r="N24" i="4" l="1"/>
  <c r="U24" i="4"/>
  <c r="V24" i="4"/>
  <c r="W24" i="4"/>
  <c r="D24" i="4"/>
  <c r="E24" i="4"/>
  <c r="F24" i="4"/>
  <c r="G24" i="4"/>
  <c r="H24" i="4"/>
  <c r="I24" i="4"/>
  <c r="J24" i="4"/>
  <c r="K24" i="4"/>
  <c r="L24" i="4"/>
  <c r="M24" i="4"/>
  <c r="O24" i="4"/>
  <c r="P24" i="4"/>
  <c r="Q24" i="4"/>
  <c r="R24" i="4"/>
  <c r="S24" i="4"/>
  <c r="T24" i="4"/>
  <c r="C24" i="4"/>
  <c r="C27" i="4" l="1"/>
  <c r="C28" i="4"/>
  <c r="X40" i="4" s="1"/>
  <c r="C26" i="4"/>
  <c r="L53" i="4" s="1"/>
  <c r="T18" i="4"/>
  <c r="T17" i="4"/>
  <c r="M11" i="4"/>
  <c r="M10" i="4"/>
  <c r="G5" i="4"/>
  <c r="G4" i="4"/>
  <c r="I40" i="4" l="1"/>
  <c r="I50" i="4"/>
  <c r="I41" i="4"/>
  <c r="I51" i="4"/>
  <c r="J36" i="4"/>
  <c r="Y35" i="4"/>
  <c r="Z43" i="4"/>
  <c r="Y43" i="4"/>
  <c r="I42" i="4"/>
  <c r="I54" i="4"/>
  <c r="I43" i="4"/>
  <c r="I53" i="4"/>
  <c r="V50" i="4"/>
  <c r="Z49" i="4"/>
  <c r="J46" i="4"/>
  <c r="K42" i="4"/>
  <c r="H54" i="4"/>
  <c r="AA52" i="4"/>
  <c r="X48" i="4"/>
  <c r="Y40" i="4"/>
  <c r="Y51" i="4"/>
  <c r="I46" i="4"/>
  <c r="I35" i="4"/>
  <c r="I45" i="4"/>
  <c r="V38" i="4"/>
  <c r="V34" i="4"/>
  <c r="Z54" i="4"/>
  <c r="W41" i="4"/>
  <c r="T37" i="4"/>
  <c r="L44" i="4"/>
  <c r="V46" i="4"/>
  <c r="Y48" i="4"/>
  <c r="I38" i="4"/>
  <c r="I48" i="4"/>
  <c r="I37" i="4"/>
  <c r="I49" i="4"/>
  <c r="V42" i="4"/>
  <c r="Z38" i="4"/>
  <c r="J43" i="4"/>
  <c r="AA36" i="4"/>
  <c r="T53" i="4"/>
  <c r="Y5" i="4"/>
  <c r="R51" i="4"/>
  <c r="R34" i="4"/>
  <c r="R40" i="4"/>
  <c r="R41" i="4"/>
  <c r="R35" i="4"/>
  <c r="R38" i="4"/>
  <c r="R47" i="4"/>
  <c r="R52" i="4"/>
  <c r="R53" i="4"/>
  <c r="R37" i="4"/>
  <c r="R50" i="4"/>
  <c r="P45" i="4"/>
  <c r="P46" i="4"/>
  <c r="P47" i="4"/>
  <c r="P40" i="4"/>
  <c r="P37" i="4"/>
  <c r="O48" i="4"/>
  <c r="O49" i="4"/>
  <c r="O34" i="4"/>
  <c r="O42" i="4"/>
  <c r="O51" i="4"/>
  <c r="S48" i="4"/>
  <c r="S49" i="4"/>
  <c r="S34" i="4"/>
  <c r="S42" i="4"/>
  <c r="S39" i="4"/>
  <c r="N51" i="4"/>
  <c r="N34" i="4"/>
  <c r="N40" i="4"/>
  <c r="N41" i="4"/>
  <c r="N35" i="4"/>
  <c r="N37" i="4"/>
  <c r="R43" i="4"/>
  <c r="R48" i="4"/>
  <c r="R49" i="4"/>
  <c r="R42" i="4"/>
  <c r="R36" i="4"/>
  <c r="P41" i="4"/>
  <c r="P42" i="4"/>
  <c r="P43" i="4"/>
  <c r="P36" i="4"/>
  <c r="P52" i="4"/>
  <c r="O44" i="4"/>
  <c r="O45" i="4"/>
  <c r="O54" i="4"/>
  <c r="O38" i="4"/>
  <c r="O36" i="4"/>
  <c r="S44" i="4"/>
  <c r="S45" i="4"/>
  <c r="S54" i="4"/>
  <c r="S38" i="4"/>
  <c r="S36" i="4"/>
  <c r="N47" i="4"/>
  <c r="N52" i="4"/>
  <c r="N53" i="4"/>
  <c r="N54" i="4"/>
  <c r="N46" i="4"/>
  <c r="R39" i="4"/>
  <c r="R44" i="4"/>
  <c r="R45" i="4"/>
  <c r="R46" i="4"/>
  <c r="R54" i="4"/>
  <c r="P53" i="4"/>
  <c r="P54" i="4"/>
  <c r="P38" i="4"/>
  <c r="P39" i="4"/>
  <c r="P44" i="4"/>
  <c r="P35" i="4"/>
  <c r="O40" i="4"/>
  <c r="O41" i="4"/>
  <c r="O50" i="4"/>
  <c r="O47" i="4"/>
  <c r="O39" i="4"/>
  <c r="S40" i="4"/>
  <c r="S41" i="4"/>
  <c r="S50" i="4"/>
  <c r="S51" i="4"/>
  <c r="S43" i="4"/>
  <c r="N43" i="4"/>
  <c r="N48" i="4"/>
  <c r="N49" i="4"/>
  <c r="N38" i="4"/>
  <c r="N36" i="4"/>
  <c r="M37" i="4"/>
  <c r="M46" i="4"/>
  <c r="Q37" i="4"/>
  <c r="Q42" i="4"/>
  <c r="N50" i="4"/>
  <c r="O46" i="4"/>
  <c r="P50" i="4"/>
  <c r="Y34" i="4"/>
  <c r="Y50" i="4"/>
  <c r="Y37" i="4"/>
  <c r="Y45" i="4"/>
  <c r="M45" i="4"/>
  <c r="X7" i="4"/>
  <c r="G50" i="4"/>
  <c r="G42" i="4"/>
  <c r="G47" i="4"/>
  <c r="G39" i="4"/>
  <c r="G40" i="4"/>
  <c r="G34" i="4"/>
  <c r="G48" i="4"/>
  <c r="G53" i="4"/>
  <c r="G45" i="4"/>
  <c r="G37" i="4"/>
  <c r="G38" i="4"/>
  <c r="L51" i="4"/>
  <c r="L43" i="4"/>
  <c r="L35" i="4"/>
  <c r="L50" i="4"/>
  <c r="L42" i="4"/>
  <c r="H53" i="4"/>
  <c r="H45" i="4"/>
  <c r="H37" i="4"/>
  <c r="H52" i="4"/>
  <c r="H44" i="4"/>
  <c r="H36" i="4"/>
  <c r="K34" i="4"/>
  <c r="K48" i="4"/>
  <c r="K40" i="4"/>
  <c r="K49" i="4"/>
  <c r="K41" i="4"/>
  <c r="K36" i="4"/>
  <c r="J50" i="4"/>
  <c r="J42" i="4"/>
  <c r="J53" i="4"/>
  <c r="J45" i="4"/>
  <c r="J37" i="4"/>
  <c r="E37" i="4" s="1"/>
  <c r="E15" i="5" s="1"/>
  <c r="G54" i="4"/>
  <c r="G46" i="4"/>
  <c r="G51" i="4"/>
  <c r="G43" i="4"/>
  <c r="G35" i="4"/>
  <c r="L49" i="4"/>
  <c r="L41" i="4"/>
  <c r="L34" i="4"/>
  <c r="L48" i="4"/>
  <c r="L40" i="4"/>
  <c r="H51" i="4"/>
  <c r="H43" i="4"/>
  <c r="H35" i="4"/>
  <c r="H50" i="4"/>
  <c r="H42" i="4"/>
  <c r="K54" i="4"/>
  <c r="K46" i="4"/>
  <c r="K38" i="4"/>
  <c r="E38" i="4" s="1"/>
  <c r="E16" i="5" s="1"/>
  <c r="K47" i="4"/>
  <c r="K39" i="4"/>
  <c r="J34" i="4"/>
  <c r="G52" i="4"/>
  <c r="G44" i="4"/>
  <c r="G49" i="4"/>
  <c r="G41" i="4"/>
  <c r="G36" i="4"/>
  <c r="L47" i="4"/>
  <c r="L39" i="4"/>
  <c r="E39" i="4" s="1"/>
  <c r="E17" i="5" s="1"/>
  <c r="L54" i="4"/>
  <c r="L46" i="4"/>
  <c r="L38" i="4"/>
  <c r="H49" i="4"/>
  <c r="H41" i="4"/>
  <c r="H34" i="4"/>
  <c r="H48" i="4"/>
  <c r="H40" i="4"/>
  <c r="K52" i="4"/>
  <c r="K44" i="4"/>
  <c r="K53" i="4"/>
  <c r="K45" i="4"/>
  <c r="K37" i="4"/>
  <c r="Y36" i="4"/>
  <c r="Y44" i="4"/>
  <c r="Y52" i="4"/>
  <c r="Y39" i="4"/>
  <c r="Y47" i="4"/>
  <c r="I36" i="4"/>
  <c r="I44" i="4"/>
  <c r="I52" i="4"/>
  <c r="I39" i="4"/>
  <c r="I47" i="4"/>
  <c r="I34" i="4"/>
  <c r="M53" i="4"/>
  <c r="M40" i="4"/>
  <c r="M39" i="4"/>
  <c r="M38" i="4"/>
  <c r="M54" i="4"/>
  <c r="Q35" i="4"/>
  <c r="Q49" i="4"/>
  <c r="Q52" i="4"/>
  <c r="Q51" i="4"/>
  <c r="Q50" i="4"/>
  <c r="V36" i="4"/>
  <c r="V40" i="4"/>
  <c r="V44" i="4"/>
  <c r="V48" i="4"/>
  <c r="V52" i="4"/>
  <c r="Z35" i="4"/>
  <c r="Z41" i="4"/>
  <c r="Z46" i="4"/>
  <c r="Z51" i="4"/>
  <c r="J39" i="4"/>
  <c r="J49" i="4"/>
  <c r="J40" i="4"/>
  <c r="J52" i="4"/>
  <c r="N45" i="4"/>
  <c r="S35" i="4"/>
  <c r="S52" i="4"/>
  <c r="W49" i="4"/>
  <c r="AA44" i="4"/>
  <c r="K43" i="4"/>
  <c r="O43" i="4"/>
  <c r="O53" i="4"/>
  <c r="T45" i="4"/>
  <c r="H38" i="4"/>
  <c r="H47" i="4"/>
  <c r="L37" i="4"/>
  <c r="P34" i="4"/>
  <c r="M41" i="4"/>
  <c r="M48" i="4"/>
  <c r="Q36" i="4"/>
  <c r="Q43" i="4"/>
  <c r="N39" i="4"/>
  <c r="Z7" i="4"/>
  <c r="U51" i="4"/>
  <c r="U43" i="4"/>
  <c r="U35" i="4"/>
  <c r="U48" i="4"/>
  <c r="U40" i="4"/>
  <c r="U49" i="4"/>
  <c r="U41" i="4"/>
  <c r="U54" i="4"/>
  <c r="U46" i="4"/>
  <c r="U38" i="4"/>
  <c r="X51" i="4"/>
  <c r="E51" i="4" s="1"/>
  <c r="E25" i="5" s="1"/>
  <c r="X47" i="4"/>
  <c r="X43" i="4"/>
  <c r="X39" i="4"/>
  <c r="X35" i="4"/>
  <c r="T52" i="4"/>
  <c r="T48" i="4"/>
  <c r="T44" i="4"/>
  <c r="T40" i="4"/>
  <c r="T36" i="4"/>
  <c r="AA51" i="4"/>
  <c r="AA47" i="4"/>
  <c r="AA43" i="4"/>
  <c r="AA39" i="4"/>
  <c r="AA35" i="4"/>
  <c r="W52" i="4"/>
  <c r="W48" i="4"/>
  <c r="W44" i="4"/>
  <c r="W40" i="4"/>
  <c r="W36" i="4"/>
  <c r="Z52" i="4"/>
  <c r="Z48" i="4"/>
  <c r="Z44" i="4"/>
  <c r="Z40" i="4"/>
  <c r="Z36" i="4"/>
  <c r="V54" i="4"/>
  <c r="U34" i="4"/>
  <c r="U47" i="4"/>
  <c r="U39" i="4"/>
  <c r="U52" i="4"/>
  <c r="U44" i="4"/>
  <c r="U36" i="4"/>
  <c r="X54" i="4"/>
  <c r="X50" i="4"/>
  <c r="X46" i="4"/>
  <c r="X42" i="4"/>
  <c r="X38" i="4"/>
  <c r="X34" i="4"/>
  <c r="T51" i="4"/>
  <c r="T47" i="4"/>
  <c r="T43" i="4"/>
  <c r="T39" i="4"/>
  <c r="T35" i="4"/>
  <c r="AA54" i="4"/>
  <c r="E54" i="4" s="1"/>
  <c r="E28" i="5" s="1"/>
  <c r="AA50" i="4"/>
  <c r="AA46" i="4"/>
  <c r="AA42" i="4"/>
  <c r="AA38" i="4"/>
  <c r="AA34" i="4"/>
  <c r="W51" i="4"/>
  <c r="W47" i="4"/>
  <c r="W43" i="4"/>
  <c r="W39" i="4"/>
  <c r="W35" i="4"/>
  <c r="U53" i="4"/>
  <c r="U45" i="4"/>
  <c r="U37" i="4"/>
  <c r="U50" i="4"/>
  <c r="U42" i="4"/>
  <c r="X53" i="4"/>
  <c r="X49" i="4"/>
  <c r="X45" i="4"/>
  <c r="X41" i="4"/>
  <c r="X37" i="4"/>
  <c r="T54" i="4"/>
  <c r="T50" i="4"/>
  <c r="T46" i="4"/>
  <c r="T42" i="4"/>
  <c r="T38" i="4"/>
  <c r="T34" i="4"/>
  <c r="AA53" i="4"/>
  <c r="AA49" i="4"/>
  <c r="AA45" i="4"/>
  <c r="AA41" i="4"/>
  <c r="AA37" i="4"/>
  <c r="W54" i="4"/>
  <c r="W50" i="4"/>
  <c r="W46" i="4"/>
  <c r="W42" i="4"/>
  <c r="W38" i="4"/>
  <c r="W34" i="4"/>
  <c r="Y38" i="4"/>
  <c r="Y46" i="4"/>
  <c r="Y54" i="4"/>
  <c r="Y41" i="4"/>
  <c r="Y49" i="4"/>
  <c r="M36" i="4"/>
  <c r="M49" i="4"/>
  <c r="M44" i="4"/>
  <c r="M43" i="4"/>
  <c r="M42" i="4"/>
  <c r="M34" i="4"/>
  <c r="Q41" i="4"/>
  <c r="Q40" i="4"/>
  <c r="Q39" i="4"/>
  <c r="Q38" i="4"/>
  <c r="Q54" i="4"/>
  <c r="V37" i="4"/>
  <c r="V41" i="4"/>
  <c r="V45" i="4"/>
  <c r="V49" i="4"/>
  <c r="E49" i="4" s="1"/>
  <c r="V53" i="4"/>
  <c r="Z37" i="4"/>
  <c r="Z42" i="4"/>
  <c r="Z47" i="4"/>
  <c r="Z53" i="4"/>
  <c r="E53" i="4" s="1"/>
  <c r="E27" i="5" s="1"/>
  <c r="J41" i="4"/>
  <c r="J51" i="4"/>
  <c r="J44" i="4"/>
  <c r="J54" i="4"/>
  <c r="N44" i="4"/>
  <c r="S46" i="4"/>
  <c r="W37" i="4"/>
  <c r="W53" i="4"/>
  <c r="AA48" i="4"/>
  <c r="K51" i="4"/>
  <c r="O35" i="4"/>
  <c r="O52" i="4"/>
  <c r="T49" i="4"/>
  <c r="X44" i="4"/>
  <c r="H46" i="4"/>
  <c r="L36" i="4"/>
  <c r="L45" i="4"/>
  <c r="P51" i="4"/>
  <c r="M47" i="4"/>
  <c r="Q44" i="4"/>
  <c r="E44" i="4" s="1"/>
  <c r="E6" i="5" s="1"/>
  <c r="Q34" i="4"/>
  <c r="S37" i="4"/>
  <c r="Y42" i="4"/>
  <c r="Y53" i="4"/>
  <c r="M35" i="4"/>
  <c r="M52" i="4"/>
  <c r="M51" i="4"/>
  <c r="M50" i="4"/>
  <c r="Q45" i="4"/>
  <c r="Q53" i="4"/>
  <c r="Q48" i="4"/>
  <c r="Q47" i="4"/>
  <c r="Q46" i="4"/>
  <c r="V35" i="4"/>
  <c r="V39" i="4"/>
  <c r="V43" i="4"/>
  <c r="V47" i="4"/>
  <c r="V51" i="4"/>
  <c r="Z34" i="4"/>
  <c r="Z39" i="4"/>
  <c r="Z45" i="4"/>
  <c r="Z50" i="4"/>
  <c r="J35" i="4"/>
  <c r="J47" i="4"/>
  <c r="J38" i="4"/>
  <c r="J48" i="4"/>
  <c r="N42" i="4"/>
  <c r="S47" i="4"/>
  <c r="S53" i="4"/>
  <c r="W45" i="4"/>
  <c r="AA40" i="4"/>
  <c r="K35" i="4"/>
  <c r="K50" i="4"/>
  <c r="O37" i="4"/>
  <c r="T41" i="4"/>
  <c r="X36" i="4"/>
  <c r="X52" i="4"/>
  <c r="H39" i="4"/>
  <c r="L52" i="4"/>
  <c r="P48" i="4"/>
  <c r="P49" i="4"/>
  <c r="X23" i="4"/>
  <c r="X5" i="4"/>
  <c r="Y4" i="4"/>
  <c r="Y3" i="4" s="1"/>
  <c r="Y10" i="4"/>
  <c r="X8" i="4"/>
  <c r="X17" i="4"/>
  <c r="X15" i="4"/>
  <c r="X12" i="4"/>
  <c r="X6" i="4"/>
  <c r="X19" i="4"/>
  <c r="X22" i="4"/>
  <c r="X11" i="4"/>
  <c r="X4" i="4"/>
  <c r="X20" i="4"/>
  <c r="X13" i="4"/>
  <c r="X14" i="4"/>
  <c r="X10" i="4"/>
  <c r="Z23" i="4"/>
  <c r="Z8" i="4"/>
  <c r="Z18" i="4"/>
  <c r="Y8" i="4"/>
  <c r="X21" i="4"/>
  <c r="X18" i="4"/>
  <c r="Y13" i="4"/>
  <c r="Y7" i="4"/>
  <c r="Y14" i="4"/>
  <c r="Z22" i="4"/>
  <c r="Z17" i="4"/>
  <c r="Z16" i="4" s="1"/>
  <c r="Z20" i="4"/>
  <c r="Z4" i="4"/>
  <c r="Z6" i="4"/>
  <c r="Y12" i="4"/>
  <c r="Z21" i="4"/>
  <c r="Y17" i="4"/>
  <c r="Y15" i="4"/>
  <c r="Y20" i="4"/>
  <c r="Y18" i="4"/>
  <c r="Z15" i="4"/>
  <c r="Z14" i="4"/>
  <c r="Z13" i="4"/>
  <c r="Z19" i="4"/>
  <c r="Y11" i="4"/>
  <c r="Z5" i="4"/>
  <c r="Y21" i="4"/>
  <c r="Y19" i="4"/>
  <c r="Y6" i="4"/>
  <c r="Y22" i="4"/>
  <c r="Z11" i="4"/>
  <c r="Z10" i="4"/>
  <c r="Z12" i="4"/>
  <c r="Y23" i="4"/>
  <c r="E46" i="4" l="1"/>
  <c r="E8" i="5" s="1"/>
  <c r="E52" i="4"/>
  <c r="E26" i="5" s="1"/>
  <c r="E43" i="4"/>
  <c r="E5" i="5" s="1"/>
  <c r="E48" i="4"/>
  <c r="E22" i="5" s="1"/>
  <c r="D46" i="4"/>
  <c r="D8" i="5" s="1"/>
  <c r="D48" i="4"/>
  <c r="D41" i="4"/>
  <c r="E35" i="4"/>
  <c r="E13" i="5" s="1"/>
  <c r="D35" i="4"/>
  <c r="D54" i="4"/>
  <c r="D28" i="5" s="1"/>
  <c r="D37" i="4"/>
  <c r="D15" i="5" s="1"/>
  <c r="D42" i="4"/>
  <c r="D4" i="5" s="1"/>
  <c r="E41" i="4"/>
  <c r="E3" i="5" s="1"/>
  <c r="D36" i="4"/>
  <c r="D14" i="5" s="1"/>
  <c r="AA7" i="4"/>
  <c r="D45" i="4"/>
  <c r="D7" i="5" s="1"/>
  <c r="D50" i="4"/>
  <c r="D24" i="5" s="1"/>
  <c r="D52" i="4"/>
  <c r="D26" i="5" s="1"/>
  <c r="D38" i="4"/>
  <c r="D16" i="5" s="1"/>
  <c r="E23" i="5"/>
  <c r="E50" i="4"/>
  <c r="E24" i="5" s="1"/>
  <c r="D49" i="4"/>
  <c r="D23" i="5" s="1"/>
  <c r="D43" i="4"/>
  <c r="D5" i="5" s="1"/>
  <c r="E36" i="4"/>
  <c r="E14" i="5" s="1"/>
  <c r="D44" i="4"/>
  <c r="D6" i="5" s="1"/>
  <c r="D51" i="4"/>
  <c r="D25" i="5" s="1"/>
  <c r="D53" i="4"/>
  <c r="D27" i="5" s="1"/>
  <c r="D39" i="4"/>
  <c r="D17" i="5" s="1"/>
  <c r="E45" i="4"/>
  <c r="E7" i="5" s="1"/>
  <c r="E42" i="4"/>
  <c r="E4" i="5" s="1"/>
  <c r="Z9" i="4"/>
  <c r="AA23" i="4"/>
  <c r="Z3" i="4"/>
  <c r="AA5" i="4"/>
  <c r="Y16" i="4"/>
  <c r="AA19" i="4"/>
  <c r="Y9" i="4"/>
  <c r="AA21" i="4"/>
  <c r="AA20" i="4"/>
  <c r="X16" i="4"/>
  <c r="AA10" i="4"/>
  <c r="AA4" i="4"/>
  <c r="AA6" i="4"/>
  <c r="AA8" i="4"/>
  <c r="X3" i="4"/>
  <c r="AA3" i="4" s="1"/>
  <c r="AA14" i="4"/>
  <c r="AA11" i="4"/>
  <c r="AA12" i="4"/>
  <c r="AA17" i="4"/>
  <c r="AA18" i="4"/>
  <c r="AA13" i="4"/>
  <c r="AA22" i="4"/>
  <c r="AA15" i="4"/>
  <c r="X9" i="4"/>
  <c r="AA9" i="4" l="1"/>
  <c r="D3" i="5"/>
  <c r="E40" i="4"/>
  <c r="E2" i="5" s="1"/>
  <c r="D40" i="4"/>
  <c r="D2" i="5" s="1"/>
  <c r="D22" i="5"/>
  <c r="E47" i="4"/>
  <c r="E21" i="5" s="1"/>
  <c r="D47" i="4"/>
  <c r="D21" i="5" s="1"/>
  <c r="D13" i="5"/>
  <c r="D34" i="4"/>
  <c r="D12" i="5" s="1"/>
  <c r="E34" i="4"/>
  <c r="E12" i="5" s="1"/>
  <c r="AA16" i="4"/>
</calcChain>
</file>

<file path=xl/sharedStrings.xml><?xml version="1.0" encoding="utf-8"?>
<sst xmlns="http://schemas.openxmlformats.org/spreadsheetml/2006/main" count="280" uniqueCount="67">
  <si>
    <t>Actor</t>
  </si>
  <si>
    <t>Usuario</t>
  </si>
  <si>
    <t>Importancia</t>
  </si>
  <si>
    <t>IE</t>
  </si>
  <si>
    <t>Certeza</t>
  </si>
  <si>
    <t>Certeza:</t>
  </si>
  <si>
    <t>Calidad</t>
  </si>
  <si>
    <t>Completamente seguro</t>
  </si>
  <si>
    <t>Bastante seguro</t>
  </si>
  <si>
    <t>No seguro en absoluto</t>
  </si>
  <si>
    <t>Importancia:</t>
  </si>
  <si>
    <t>Compañía</t>
  </si>
  <si>
    <t>Formar</t>
  </si>
  <si>
    <t>Presencial</t>
  </si>
  <si>
    <t>Online</t>
  </si>
  <si>
    <t>Costes</t>
  </si>
  <si>
    <t>Productividad</t>
  </si>
  <si>
    <t>Aprender</t>
  </si>
  <si>
    <t>Horario</t>
  </si>
  <si>
    <t>Satisfaccion</t>
  </si>
  <si>
    <t>Desplazamiento</t>
  </si>
  <si>
    <t>Proveer curso</t>
  </si>
  <si>
    <t>Lugar</t>
  </si>
  <si>
    <t>Acceso</t>
  </si>
  <si>
    <t>Hora</t>
  </si>
  <si>
    <t>Problema</t>
  </si>
  <si>
    <t>Participación</t>
  </si>
  <si>
    <t>Profesor</t>
  </si>
  <si>
    <t>Curso</t>
  </si>
  <si>
    <t>Participacion</t>
  </si>
  <si>
    <t>Poco seguro</t>
  </si>
  <si>
    <t>Casi nada seguro</t>
  </si>
  <si>
    <t>Evaluación</t>
  </si>
  <si>
    <t>Totalmente de acuerdo</t>
  </si>
  <si>
    <t>De acuerdo</t>
  </si>
  <si>
    <t>Ni de acuerdo ni en desacuerdo</t>
  </si>
  <si>
    <t>En desacuerdo</t>
  </si>
  <si>
    <t>Totalmente en desacuerdo</t>
  </si>
  <si>
    <t>Evaluar:</t>
  </si>
  <si>
    <t>T Comp</t>
  </si>
  <si>
    <t>T User</t>
  </si>
  <si>
    <t>T Prof</t>
  </si>
  <si>
    <t>*</t>
  </si>
  <si>
    <t>S Comp</t>
  </si>
  <si>
    <t>S User</t>
  </si>
  <si>
    <t>S Prof</t>
  </si>
  <si>
    <t>S TOTAL</t>
  </si>
  <si>
    <t>Directa</t>
  </si>
  <si>
    <t>Reducir costes</t>
  </si>
  <si>
    <t>Aumentar productividad</t>
  </si>
  <si>
    <t>Formación de calidad</t>
  </si>
  <si>
    <t>Horario flexible</t>
  </si>
  <si>
    <t>Satisfacción con el curso</t>
  </si>
  <si>
    <t>Evitar desplazamiento</t>
  </si>
  <si>
    <t>Calidad del curso</t>
  </si>
  <si>
    <t>Cualquier lugar</t>
  </si>
  <si>
    <t>Mejorar acceso a la educación</t>
  </si>
  <si>
    <t>Cualquier hora</t>
  </si>
  <si>
    <t>Problemas técnicos</t>
  </si>
  <si>
    <t>Participación alumnos en clase</t>
  </si>
  <si>
    <t>Grado de importancia</t>
  </si>
  <si>
    <t>Satisfacción</t>
  </si>
  <si>
    <t>Formar Trabajadores</t>
  </si>
  <si>
    <t>Elemento Intencional</t>
  </si>
  <si>
    <t>Nivel de importancia</t>
  </si>
  <si>
    <t>Satisfacción
[-100, 100]</t>
  </si>
  <si>
    <t>Elementos que contribuyen a la satisfacción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</si>
</sst>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5" borderId="0" applyNumberFormat="0" applyBorder="0" applyAlignment="0" applyProtection="0"/>
    <xf numFmtId="0" fontId="2" fillId="6" borderId="0" applyNumberFormat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2" xfId="0" applyFill="1" applyBorder="1" applyAlignment="1"/>
    <xf numFmtId="0" fontId="0" fillId="3" borderId="0" xfId="0" applyFill="1" applyBorder="1"/>
    <xf numFmtId="0" fontId="0" fillId="3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quotePrefix="1" applyAlignment="1">
      <alignment horizontal="center" vertical="top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vertical="top" wrapText="1"/>
    </xf>
    <xf numFmtId="2" fontId="0" fillId="0" borderId="0" xfId="0" applyNumberFormat="1"/>
    <xf numFmtId="0" fontId="0" fillId="3" borderId="1" xfId="0" applyFill="1" applyBorder="1" applyAlignment="1">
      <alignment vertical="center"/>
    </xf>
    <xf numFmtId="0" fontId="0" fillId="0" borderId="0" xfId="0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quotePrefix="1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2" fillId="6" borderId="0" xfId="2" applyAlignment="1">
      <alignment horizontal="center" vertical="center"/>
    </xf>
    <xf numFmtId="0" fontId="1" fillId="5" borderId="0" xfId="1" applyAlignment="1">
      <alignment vertical="center"/>
    </xf>
    <xf numFmtId="0" fontId="0" fillId="0" borderId="0" xfId="0" applyAlignment="1">
      <alignment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3">
    <cellStyle name="Bueno" xfId="1" builtinId="26"/>
    <cellStyle name="Neutral" xfId="2" builtinId="2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1:</a:t>
          </a:r>
          <a:br>
            <a:rPr lang="es-ES" sz="1100"/>
          </a:br>
          <a:r>
            <a:rPr lang="es-ES" sz="1100"/>
            <a:t>Priorización</a:t>
          </a:r>
        </a:p>
      </xdr:txBody>
    </xdr:sp>
    <xdr:clientData/>
  </xdr:twoCellAnchor>
  <xdr:twoCellAnchor>
    <xdr:from>
      <xdr:col>0</xdr:col>
      <xdr:colOff>600075</xdr:colOff>
      <xdr:row>7</xdr:row>
      <xdr:rowOff>19050</xdr:rowOff>
    </xdr:from>
    <xdr:to>
      <xdr:col>5</xdr:col>
      <xdr:colOff>76200</xdr:colOff>
      <xdr:row>11</xdr:row>
      <xdr:rowOff>123824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600075" y="13525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571500</xdr:colOff>
      <xdr:row>13</xdr:row>
      <xdr:rowOff>9525</xdr:rowOff>
    </xdr:from>
    <xdr:to>
      <xdr:col>5</xdr:col>
      <xdr:colOff>47625</xdr:colOff>
      <xdr:row>17</xdr:row>
      <xdr:rowOff>114299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CD490F0-5F1B-4DAD-AABF-F7DB722A29CD}"/>
            </a:ext>
          </a:extLst>
        </xdr:cNvPr>
        <xdr:cNvSpPr/>
      </xdr:nvSpPr>
      <xdr:spPr>
        <a:xfrm>
          <a:off x="571500" y="248602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30"/>
  <sheetViews>
    <sheetView zoomScaleNormal="100" workbookViewId="0"/>
  </sheetViews>
  <sheetFormatPr baseColWidth="10" defaultRowHeight="15" x14ac:dyDescent="0.25"/>
  <cols>
    <col min="1" max="2" width="23.42578125" bestFit="1" customWidth="1"/>
    <col min="6" max="6" width="13" bestFit="1" customWidth="1"/>
  </cols>
  <sheetData>
    <row r="1" spans="1:11" x14ac:dyDescent="0.25">
      <c r="E1">
        <v>100</v>
      </c>
      <c r="F1" t="s">
        <v>7</v>
      </c>
      <c r="G1" t="s">
        <v>33</v>
      </c>
    </row>
    <row r="2" spans="1:11" x14ac:dyDescent="0.25">
      <c r="E2">
        <v>75</v>
      </c>
      <c r="F2" t="s">
        <v>8</v>
      </c>
      <c r="G2" t="s">
        <v>34</v>
      </c>
    </row>
    <row r="3" spans="1:11" x14ac:dyDescent="0.25">
      <c r="E3">
        <v>50</v>
      </c>
      <c r="F3" t="s">
        <v>30</v>
      </c>
      <c r="G3" t="s">
        <v>35</v>
      </c>
    </row>
    <row r="4" spans="1:11" x14ac:dyDescent="0.25">
      <c r="E4">
        <v>25</v>
      </c>
      <c r="F4" t="s">
        <v>31</v>
      </c>
      <c r="G4" t="s">
        <v>36</v>
      </c>
    </row>
    <row r="5" spans="1:11" x14ac:dyDescent="0.25">
      <c r="E5">
        <v>0</v>
      </c>
      <c r="F5" t="s">
        <v>9</v>
      </c>
      <c r="G5" t="s">
        <v>37</v>
      </c>
    </row>
    <row r="8" spans="1:11" x14ac:dyDescent="0.25">
      <c r="C8" t="s">
        <v>10</v>
      </c>
    </row>
    <row r="9" spans="1:11" x14ac:dyDescent="0.25">
      <c r="A9" t="s">
        <v>0</v>
      </c>
      <c r="B9" t="s">
        <v>3</v>
      </c>
      <c r="C9" t="s">
        <v>2</v>
      </c>
      <c r="E9" t="s">
        <v>32</v>
      </c>
      <c r="F9" t="s">
        <v>0</v>
      </c>
      <c r="G9" t="s">
        <v>2</v>
      </c>
      <c r="H9" t="s">
        <v>4</v>
      </c>
      <c r="J9" t="s">
        <v>10</v>
      </c>
      <c r="K9" t="s">
        <v>5</v>
      </c>
    </row>
    <row r="10" spans="1:11" x14ac:dyDescent="0.25">
      <c r="A10" t="s">
        <v>11</v>
      </c>
      <c r="B10" t="s">
        <v>12</v>
      </c>
      <c r="C10" t="s">
        <v>10</v>
      </c>
      <c r="E10" t="str">
        <f>Evaluacion!F12</f>
        <v>Evaluar:</v>
      </c>
      <c r="F10" t="s">
        <v>11</v>
      </c>
      <c r="G10" t="s">
        <v>10</v>
      </c>
      <c r="H10" t="s">
        <v>5</v>
      </c>
    </row>
    <row r="11" spans="1:11" x14ac:dyDescent="0.25">
      <c r="A11" t="s">
        <v>11</v>
      </c>
      <c r="B11" t="s">
        <v>13</v>
      </c>
      <c r="C11" t="s">
        <v>10</v>
      </c>
      <c r="E11" t="str">
        <f>Evaluacion!F13</f>
        <v>Evaluar:</v>
      </c>
      <c r="F11" t="s">
        <v>1</v>
      </c>
      <c r="G11" t="s">
        <v>10</v>
      </c>
      <c r="H11" t="s">
        <v>5</v>
      </c>
    </row>
    <row r="12" spans="1:11" x14ac:dyDescent="0.25">
      <c r="A12" t="s">
        <v>11</v>
      </c>
      <c r="B12" t="s">
        <v>14</v>
      </c>
      <c r="C12" t="s">
        <v>10</v>
      </c>
      <c r="E12" t="str">
        <f>Evaluacion!F14</f>
        <v>Evaluar:</v>
      </c>
      <c r="F12" t="s">
        <v>27</v>
      </c>
      <c r="G12" t="s">
        <v>10</v>
      </c>
      <c r="H12" t="s">
        <v>5</v>
      </c>
    </row>
    <row r="13" spans="1:11" x14ac:dyDescent="0.25">
      <c r="A13" t="s">
        <v>11</v>
      </c>
      <c r="B13" t="s">
        <v>15</v>
      </c>
      <c r="C13" t="s">
        <v>10</v>
      </c>
      <c r="E13" t="str">
        <f>Evaluacion!F15</f>
        <v>Evaluar:</v>
      </c>
    </row>
    <row r="14" spans="1:11" x14ac:dyDescent="0.25">
      <c r="A14" t="s">
        <v>11</v>
      </c>
      <c r="B14" t="s">
        <v>16</v>
      </c>
      <c r="C14" t="s">
        <v>10</v>
      </c>
      <c r="E14" t="str">
        <f>Evaluacion!F16</f>
        <v>Evaluar:</v>
      </c>
    </row>
    <row r="15" spans="1:11" x14ac:dyDescent="0.25">
      <c r="A15" t="s">
        <v>11</v>
      </c>
      <c r="B15" t="s">
        <v>6</v>
      </c>
      <c r="C15" t="s">
        <v>10</v>
      </c>
      <c r="E15" t="str">
        <f>Evaluacion!F17</f>
        <v>Evaluar:</v>
      </c>
    </row>
    <row r="16" spans="1:11" x14ac:dyDescent="0.25">
      <c r="A16" t="s">
        <v>1</v>
      </c>
      <c r="B16" t="s">
        <v>17</v>
      </c>
      <c r="C16" t="s">
        <v>10</v>
      </c>
      <c r="E16" t="str">
        <f>Evaluacion!F2</f>
        <v>Evaluar:</v>
      </c>
    </row>
    <row r="17" spans="1:5" x14ac:dyDescent="0.25">
      <c r="A17" t="s">
        <v>1</v>
      </c>
      <c r="B17" t="s">
        <v>13</v>
      </c>
      <c r="C17" t="s">
        <v>10</v>
      </c>
      <c r="E17" t="str">
        <f>Evaluacion!F3</f>
        <v>Evaluar:</v>
      </c>
    </row>
    <row r="18" spans="1:5" x14ac:dyDescent="0.25">
      <c r="A18" t="s">
        <v>1</v>
      </c>
      <c r="B18" t="s">
        <v>14</v>
      </c>
      <c r="C18" t="s">
        <v>10</v>
      </c>
      <c r="E18" t="str">
        <f>Evaluacion!F4</f>
        <v>Evaluar:</v>
      </c>
    </row>
    <row r="19" spans="1:5" x14ac:dyDescent="0.25">
      <c r="A19" t="s">
        <v>1</v>
      </c>
      <c r="B19" t="s">
        <v>18</v>
      </c>
      <c r="C19" t="s">
        <v>10</v>
      </c>
      <c r="E19" t="str">
        <f>Evaluacion!F5</f>
        <v>Evaluar:</v>
      </c>
    </row>
    <row r="20" spans="1:5" x14ac:dyDescent="0.25">
      <c r="A20" t="s">
        <v>1</v>
      </c>
      <c r="B20" t="s">
        <v>19</v>
      </c>
      <c r="C20" t="s">
        <v>10</v>
      </c>
      <c r="E20" t="str">
        <f>Evaluacion!F6</f>
        <v>Evaluar:</v>
      </c>
    </row>
    <row r="21" spans="1:5" x14ac:dyDescent="0.25">
      <c r="A21" t="s">
        <v>1</v>
      </c>
      <c r="B21" t="s">
        <v>20</v>
      </c>
      <c r="C21" t="s">
        <v>10</v>
      </c>
      <c r="E21" t="str">
        <f>Evaluacion!F7</f>
        <v>Evaluar:</v>
      </c>
    </row>
    <row r="22" spans="1:5" x14ac:dyDescent="0.25">
      <c r="A22" t="s">
        <v>1</v>
      </c>
      <c r="B22" t="s">
        <v>6</v>
      </c>
      <c r="C22" t="s">
        <v>10</v>
      </c>
      <c r="E22" t="str">
        <f>Evaluacion!F8</f>
        <v>Evaluar:</v>
      </c>
    </row>
    <row r="23" spans="1:5" x14ac:dyDescent="0.25">
      <c r="A23" t="s">
        <v>27</v>
      </c>
      <c r="B23" t="s">
        <v>21</v>
      </c>
      <c r="C23" t="s">
        <v>10</v>
      </c>
      <c r="E23" t="str">
        <f>Evaluacion!F21</f>
        <v>Evaluar:</v>
      </c>
    </row>
    <row r="24" spans="1:5" x14ac:dyDescent="0.25">
      <c r="A24" t="s">
        <v>27</v>
      </c>
      <c r="B24" t="s">
        <v>13</v>
      </c>
      <c r="C24" t="s">
        <v>10</v>
      </c>
      <c r="E24" t="str">
        <f>Evaluacion!F22</f>
        <v>Evaluar:</v>
      </c>
    </row>
    <row r="25" spans="1:5" x14ac:dyDescent="0.25">
      <c r="A25" t="s">
        <v>27</v>
      </c>
      <c r="B25" t="s">
        <v>14</v>
      </c>
      <c r="C25" t="s">
        <v>10</v>
      </c>
      <c r="E25" t="str">
        <f>Evaluacion!F23</f>
        <v>Evaluar:</v>
      </c>
    </row>
    <row r="26" spans="1:5" x14ac:dyDescent="0.25">
      <c r="A26" t="s">
        <v>27</v>
      </c>
      <c r="B26" t="s">
        <v>22</v>
      </c>
      <c r="C26" t="s">
        <v>10</v>
      </c>
      <c r="E26" t="str">
        <f>Evaluacion!F24</f>
        <v>Evaluar:</v>
      </c>
    </row>
    <row r="27" spans="1:5" x14ac:dyDescent="0.25">
      <c r="A27" t="s">
        <v>27</v>
      </c>
      <c r="B27" t="s">
        <v>23</v>
      </c>
      <c r="C27" t="s">
        <v>10</v>
      </c>
      <c r="E27" t="str">
        <f>Evaluacion!F25</f>
        <v>Evaluar:</v>
      </c>
    </row>
    <row r="28" spans="1:5" x14ac:dyDescent="0.25">
      <c r="A28" t="s">
        <v>27</v>
      </c>
      <c r="B28" t="s">
        <v>24</v>
      </c>
      <c r="C28" t="s">
        <v>10</v>
      </c>
      <c r="E28" t="str">
        <f>Evaluacion!F26</f>
        <v>Evaluar:</v>
      </c>
    </row>
    <row r="29" spans="1:5" x14ac:dyDescent="0.25">
      <c r="A29" t="s">
        <v>27</v>
      </c>
      <c r="B29" t="s">
        <v>25</v>
      </c>
      <c r="C29" t="s">
        <v>10</v>
      </c>
      <c r="E29" t="str">
        <f>Evaluacion!F27</f>
        <v>Evaluar:</v>
      </c>
    </row>
    <row r="30" spans="1:5" x14ac:dyDescent="0.25">
      <c r="A30" t="s">
        <v>27</v>
      </c>
      <c r="B30" t="s">
        <v>26</v>
      </c>
      <c r="C30" t="s">
        <v>10</v>
      </c>
      <c r="E30" t="str">
        <f>Evaluacion!F28</f>
        <v>Evaluar: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AC131"/>
  <sheetViews>
    <sheetView zoomScale="70" zoomScaleNormal="70" workbookViewId="0"/>
  </sheetViews>
  <sheetFormatPr baseColWidth="10" defaultRowHeight="15" x14ac:dyDescent="0.25"/>
  <cols>
    <col min="1" max="1" width="9.7109375" bestFit="1" customWidth="1"/>
    <col min="2" max="2" width="31" bestFit="1" customWidth="1"/>
    <col min="3" max="4" width="11.42578125" style="1"/>
    <col min="5" max="5" width="36.7109375" style="1" customWidth="1"/>
    <col min="6" max="11" width="11.42578125" style="1"/>
    <col min="12" max="12" width="15.28515625" style="1" bestFit="1" customWidth="1"/>
    <col min="13" max="18" width="11.42578125" style="1"/>
    <col min="20" max="20" width="12.42578125" bestFit="1" customWidth="1"/>
  </cols>
  <sheetData>
    <row r="1" spans="1:29" x14ac:dyDescent="0.25">
      <c r="A1" s="2"/>
      <c r="B1" s="2" t="s">
        <v>0</v>
      </c>
      <c r="C1" s="34" t="s">
        <v>11</v>
      </c>
      <c r="D1" s="35"/>
      <c r="E1" s="35"/>
      <c r="F1" s="35"/>
      <c r="G1" s="35"/>
      <c r="H1" s="35"/>
      <c r="I1" s="32" t="s">
        <v>1</v>
      </c>
      <c r="J1" s="32"/>
      <c r="K1" s="32"/>
      <c r="L1" s="32"/>
      <c r="M1" s="32"/>
      <c r="N1" s="32"/>
      <c r="O1" s="33"/>
      <c r="P1" s="31" t="s">
        <v>27</v>
      </c>
      <c r="Q1" s="32"/>
      <c r="R1" s="32"/>
      <c r="S1" s="32"/>
      <c r="T1" s="32"/>
      <c r="U1" s="32"/>
      <c r="V1" s="32"/>
      <c r="W1" s="32"/>
      <c r="X1" t="s">
        <v>43</v>
      </c>
      <c r="Y1" t="s">
        <v>44</v>
      </c>
      <c r="Z1" t="s">
        <v>45</v>
      </c>
      <c r="AA1" t="s">
        <v>46</v>
      </c>
    </row>
    <row r="2" spans="1:29" x14ac:dyDescent="0.25">
      <c r="A2" s="2"/>
      <c r="B2" s="2"/>
      <c r="C2" s="9" t="s">
        <v>12</v>
      </c>
      <c r="D2" s="5" t="s">
        <v>13</v>
      </c>
      <c r="E2" s="5" t="s">
        <v>14</v>
      </c>
      <c r="F2" s="5" t="s">
        <v>15</v>
      </c>
      <c r="G2" s="5" t="s">
        <v>16</v>
      </c>
      <c r="H2" s="5" t="s">
        <v>6</v>
      </c>
      <c r="I2" s="9" t="s">
        <v>17</v>
      </c>
      <c r="J2" s="7" t="s">
        <v>13</v>
      </c>
      <c r="K2" s="7" t="s">
        <v>14</v>
      </c>
      <c r="L2" s="5" t="s">
        <v>18</v>
      </c>
      <c r="M2" s="5" t="s">
        <v>19</v>
      </c>
      <c r="N2" s="5" t="s">
        <v>20</v>
      </c>
      <c r="O2" s="5" t="s">
        <v>6</v>
      </c>
      <c r="P2" s="9" t="s">
        <v>28</v>
      </c>
      <c r="Q2" s="7" t="s">
        <v>13</v>
      </c>
      <c r="R2" s="7" t="s">
        <v>14</v>
      </c>
      <c r="S2" s="5" t="s">
        <v>22</v>
      </c>
      <c r="T2" s="5" t="s">
        <v>23</v>
      </c>
      <c r="U2" s="5" t="s">
        <v>24</v>
      </c>
      <c r="V2" s="4" t="s">
        <v>25</v>
      </c>
      <c r="W2" s="4" t="s">
        <v>29</v>
      </c>
      <c r="X2" s="11" t="s">
        <v>42</v>
      </c>
      <c r="Y2" s="11" t="s">
        <v>42</v>
      </c>
      <c r="Z2" s="11" t="s">
        <v>42</v>
      </c>
      <c r="AA2" s="11" t="s">
        <v>42</v>
      </c>
      <c r="AB2" s="11" t="s">
        <v>2</v>
      </c>
      <c r="AC2" s="11" t="s">
        <v>32</v>
      </c>
    </row>
    <row r="3" spans="1:29" x14ac:dyDescent="0.25">
      <c r="A3" t="s">
        <v>11</v>
      </c>
      <c r="B3" s="4" t="s">
        <v>62</v>
      </c>
      <c r="C3" s="3">
        <v>100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6" t="e">
        <f>MAX(((C3*C$24+D3*D$24+E3*E$24+F3*F$24+G3*G$24+H3*H$24)/$C$26),X4:X5)</f>
        <v>#VALUE!</v>
      </c>
      <c r="Y3" s="6" t="e">
        <f>MAX(((I3*I$24+J3*J$24+K3*K$24+L3*L$24+M3*M$24+N3*N$24+O3*O$24)/$C$27),Y4:Y5)</f>
        <v>#VALUE!</v>
      </c>
      <c r="Z3" s="6" t="e">
        <f>MAX(((P3*P$24+Q3*Q$24+R3*R$24+S3*S$24+T3*T$24+U3*U$24+V3*V$24+W3*W$24)/$C$28),Z4:Z5)</f>
        <v>#VALUE!</v>
      </c>
      <c r="AA3" s="6" t="str">
        <f>_xlfn.CONCAT("-&gt; ",IFERROR(ROUND(AVERAGE(X3:Z3),2),"ERROR"))</f>
        <v>-&gt; ERROR</v>
      </c>
      <c r="AB3" t="str">
        <f>Respuestas!C10</f>
        <v>Importancia:</v>
      </c>
      <c r="AC3" t="s">
        <v>38</v>
      </c>
    </row>
    <row r="4" spans="1:29" x14ac:dyDescent="0.25">
      <c r="A4" t="s">
        <v>11</v>
      </c>
      <c r="B4" s="4" t="s">
        <v>13</v>
      </c>
      <c r="C4" s="8">
        <v>100</v>
      </c>
      <c r="D4" s="3">
        <v>100</v>
      </c>
      <c r="E4" s="8"/>
      <c r="F4" s="8">
        <v>-25</v>
      </c>
      <c r="G4" s="8">
        <f>H4*G8/100</f>
        <v>37.5</v>
      </c>
      <c r="H4" s="8">
        <v>75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6" t="e">
        <f t="shared" ref="X4:X23" si="0">(C4*C$24+D4*D$24+E4*E$24+F4*F$24+G4*G$24+H4*H$24)/$C$26</f>
        <v>#VALUE!</v>
      </c>
      <c r="Y4" s="6" t="e">
        <f t="shared" ref="Y4:Y23" si="1">(I4*I$24+J4*J$24+K4*K$24+L4*L$24+M4*M$24+N4*N$24+O4*O$24)/$C$27</f>
        <v>#VALUE!</v>
      </c>
      <c r="Z4" s="6" t="e">
        <f t="shared" ref="Z4:Z23" si="2">(P4*P$24+Q4*Q$24+R4*R$24+S4*S$24+T4*T$24+U4*U$24+V4*V$24+W4*W$24)/$C$28</f>
        <v>#VALUE!</v>
      </c>
      <c r="AA4" s="6" t="str">
        <f t="shared" ref="AA4:AA23" si="3">_xlfn.CONCAT("-&gt; ",IFERROR(ROUND(AVERAGE(X4:Z4),2),"ERROR"))</f>
        <v>-&gt; ERROR</v>
      </c>
      <c r="AB4" t="str">
        <f>Respuestas!C11</f>
        <v>Importancia:</v>
      </c>
      <c r="AC4" t="s">
        <v>38</v>
      </c>
    </row>
    <row r="5" spans="1:29" x14ac:dyDescent="0.25">
      <c r="A5" t="s">
        <v>11</v>
      </c>
      <c r="B5" s="4" t="s">
        <v>14</v>
      </c>
      <c r="C5" s="8">
        <v>100</v>
      </c>
      <c r="D5" s="8"/>
      <c r="E5" s="3">
        <v>100</v>
      </c>
      <c r="F5" s="8">
        <v>75</v>
      </c>
      <c r="G5" s="8">
        <f>H5*G8/100</f>
        <v>12.5</v>
      </c>
      <c r="H5" s="8">
        <v>25</v>
      </c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6" t="e">
        <f t="shared" si="0"/>
        <v>#VALUE!</v>
      </c>
      <c r="Y5" s="6" t="e">
        <f t="shared" si="1"/>
        <v>#VALUE!</v>
      </c>
      <c r="Z5" s="6" t="e">
        <f t="shared" si="2"/>
        <v>#VALUE!</v>
      </c>
      <c r="AA5" s="6" t="str">
        <f t="shared" si="3"/>
        <v>-&gt; ERROR</v>
      </c>
      <c r="AB5" t="str">
        <f>Respuestas!C12</f>
        <v>Importancia:</v>
      </c>
      <c r="AC5" t="s">
        <v>38</v>
      </c>
    </row>
    <row r="6" spans="1:29" x14ac:dyDescent="0.25">
      <c r="A6" t="s">
        <v>11</v>
      </c>
      <c r="B6" s="4" t="s">
        <v>48</v>
      </c>
      <c r="C6" s="8"/>
      <c r="D6" s="8"/>
      <c r="E6" s="8"/>
      <c r="F6" s="3">
        <v>100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6" t="e">
        <f t="shared" si="0"/>
        <v>#VALUE!</v>
      </c>
      <c r="Y6" s="6" t="e">
        <f t="shared" si="1"/>
        <v>#VALUE!</v>
      </c>
      <c r="Z6" s="6" t="e">
        <f t="shared" si="2"/>
        <v>#VALUE!</v>
      </c>
      <c r="AA6" s="6" t="str">
        <f t="shared" si="3"/>
        <v>-&gt; ERROR</v>
      </c>
      <c r="AB6" t="str">
        <f>Respuestas!C13</f>
        <v>Importancia:</v>
      </c>
      <c r="AC6" t="s">
        <v>38</v>
      </c>
    </row>
    <row r="7" spans="1:29" x14ac:dyDescent="0.25">
      <c r="A7" t="s">
        <v>11</v>
      </c>
      <c r="B7" s="4" t="s">
        <v>49</v>
      </c>
      <c r="C7" s="8"/>
      <c r="D7" s="8"/>
      <c r="E7" s="8"/>
      <c r="F7" s="8"/>
      <c r="G7" s="3">
        <v>100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6" t="e">
        <f t="shared" si="0"/>
        <v>#VALUE!</v>
      </c>
      <c r="Y7" s="6" t="e">
        <f t="shared" si="1"/>
        <v>#VALUE!</v>
      </c>
      <c r="Z7" s="6" t="e">
        <f t="shared" si="2"/>
        <v>#VALUE!</v>
      </c>
      <c r="AA7" s="6" t="str">
        <f t="shared" si="3"/>
        <v>-&gt; ERROR</v>
      </c>
      <c r="AB7" t="str">
        <f>Respuestas!C14</f>
        <v>Importancia:</v>
      </c>
      <c r="AC7" t="s">
        <v>38</v>
      </c>
    </row>
    <row r="8" spans="1:29" x14ac:dyDescent="0.25">
      <c r="A8" t="s">
        <v>11</v>
      </c>
      <c r="B8" s="4" t="s">
        <v>50</v>
      </c>
      <c r="C8" s="8"/>
      <c r="D8" s="8"/>
      <c r="E8" s="8"/>
      <c r="F8" s="8"/>
      <c r="G8" s="8">
        <v>50</v>
      </c>
      <c r="H8" s="3">
        <v>100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6" t="e">
        <f t="shared" si="0"/>
        <v>#VALUE!</v>
      </c>
      <c r="Y8" s="6" t="e">
        <f t="shared" si="1"/>
        <v>#VALUE!</v>
      </c>
      <c r="Z8" s="6" t="e">
        <f t="shared" si="2"/>
        <v>#VALUE!</v>
      </c>
      <c r="AA8" s="6" t="str">
        <f t="shared" si="3"/>
        <v>-&gt; ERROR</v>
      </c>
      <c r="AB8" t="str">
        <f>Respuestas!C15</f>
        <v>Importancia:</v>
      </c>
      <c r="AC8" t="s">
        <v>38</v>
      </c>
    </row>
    <row r="9" spans="1:29" x14ac:dyDescent="0.25">
      <c r="A9" t="s">
        <v>1</v>
      </c>
      <c r="B9" s="4" t="s">
        <v>17</v>
      </c>
      <c r="C9" s="8"/>
      <c r="D9" s="8"/>
      <c r="E9" s="8"/>
      <c r="F9" s="8"/>
      <c r="G9" s="8"/>
      <c r="H9" s="8"/>
      <c r="I9" s="3">
        <v>100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6" t="e">
        <f>MAX(((C9*C$24+D9*D$24+E9*E$24+F9*F$24+G9*G$24+H9*H$24)/$C$26),X10:X11)</f>
        <v>#VALUE!</v>
      </c>
      <c r="Y9" s="6" t="e">
        <f>MAX(((I9*I$24+J9*J$24+K9*K$24+L9*L$24+M9*M$24+N9*N$24+O9*O$24)/$C$27),Y10:Y11)</f>
        <v>#VALUE!</v>
      </c>
      <c r="Z9" s="6" t="e">
        <f>MAX(((P9*P$24+Q9*Q$24+R9*R$24+S9*S$24+T9*T$24+U9*U$24+V9*V$24+W9*W$24)/$C$28),Z10:Z11)</f>
        <v>#VALUE!</v>
      </c>
      <c r="AA9" s="6" t="str">
        <f t="shared" si="3"/>
        <v>-&gt; ERROR</v>
      </c>
      <c r="AB9" t="str">
        <f>Respuestas!C16</f>
        <v>Importancia:</v>
      </c>
      <c r="AC9" t="s">
        <v>38</v>
      </c>
    </row>
    <row r="10" spans="1:29" x14ac:dyDescent="0.25">
      <c r="A10" t="s">
        <v>1</v>
      </c>
      <c r="B10" s="4" t="s">
        <v>13</v>
      </c>
      <c r="C10" s="8"/>
      <c r="D10" s="8"/>
      <c r="E10" s="8"/>
      <c r="F10" s="8"/>
      <c r="G10" s="8"/>
      <c r="H10" s="8"/>
      <c r="I10" s="8">
        <v>100</v>
      </c>
      <c r="J10" s="3">
        <v>100</v>
      </c>
      <c r="K10" s="8"/>
      <c r="L10" s="8">
        <v>-25</v>
      </c>
      <c r="M10" s="8">
        <f>L10*M12/100+N10*M14/100+O10*M15/100</f>
        <v>12.5</v>
      </c>
      <c r="N10" s="8">
        <v>-50</v>
      </c>
      <c r="O10" s="8">
        <v>75</v>
      </c>
      <c r="P10" s="8"/>
      <c r="Q10" s="8"/>
      <c r="R10" s="8"/>
      <c r="S10" s="8"/>
      <c r="T10" s="8"/>
      <c r="U10" s="8"/>
      <c r="V10" s="8"/>
      <c r="W10" s="8"/>
      <c r="X10" s="6" t="e">
        <f t="shared" si="0"/>
        <v>#VALUE!</v>
      </c>
      <c r="Y10" s="6" t="e">
        <f t="shared" si="1"/>
        <v>#VALUE!</v>
      </c>
      <c r="Z10" s="6" t="e">
        <f t="shared" si="2"/>
        <v>#VALUE!</v>
      </c>
      <c r="AA10" s="6" t="str">
        <f t="shared" si="3"/>
        <v>-&gt; ERROR</v>
      </c>
      <c r="AB10" t="str">
        <f>Respuestas!C17</f>
        <v>Importancia:</v>
      </c>
      <c r="AC10" t="s">
        <v>38</v>
      </c>
    </row>
    <row r="11" spans="1:29" x14ac:dyDescent="0.25">
      <c r="A11" t="s">
        <v>1</v>
      </c>
      <c r="B11" s="4" t="s">
        <v>14</v>
      </c>
      <c r="C11" s="8"/>
      <c r="D11" s="8"/>
      <c r="E11" s="8"/>
      <c r="F11" s="8"/>
      <c r="G11" s="8"/>
      <c r="H11" s="8"/>
      <c r="I11" s="8">
        <v>100</v>
      </c>
      <c r="J11" s="8"/>
      <c r="K11" s="3">
        <v>100</v>
      </c>
      <c r="L11" s="8">
        <v>50</v>
      </c>
      <c r="M11" s="8">
        <f>L11*M12/100+N11*M14/100+O11*M15/100</f>
        <v>56.25</v>
      </c>
      <c r="N11" s="8">
        <v>75</v>
      </c>
      <c r="O11" s="8">
        <v>25</v>
      </c>
      <c r="P11" s="8"/>
      <c r="Q11" s="8"/>
      <c r="R11" s="8"/>
      <c r="S11" s="8"/>
      <c r="T11" s="8"/>
      <c r="U11" s="8"/>
      <c r="V11" s="8"/>
      <c r="W11" s="8"/>
      <c r="X11" s="6" t="e">
        <f t="shared" si="0"/>
        <v>#VALUE!</v>
      </c>
      <c r="Y11" s="6" t="e">
        <f t="shared" si="1"/>
        <v>#VALUE!</v>
      </c>
      <c r="Z11" s="6" t="e">
        <f t="shared" si="2"/>
        <v>#VALUE!</v>
      </c>
      <c r="AA11" s="6" t="str">
        <f t="shared" si="3"/>
        <v>-&gt; ERROR</v>
      </c>
      <c r="AB11" t="str">
        <f>Respuestas!C18</f>
        <v>Importancia:</v>
      </c>
      <c r="AC11" t="s">
        <v>38</v>
      </c>
    </row>
    <row r="12" spans="1:29" x14ac:dyDescent="0.25">
      <c r="A12" t="s">
        <v>1</v>
      </c>
      <c r="B12" s="4" t="s">
        <v>51</v>
      </c>
      <c r="C12" s="8"/>
      <c r="D12" s="8"/>
      <c r="E12" s="8"/>
      <c r="F12" s="8"/>
      <c r="G12" s="8"/>
      <c r="H12" s="8"/>
      <c r="I12" s="8"/>
      <c r="J12" s="8"/>
      <c r="K12" s="8"/>
      <c r="L12" s="3">
        <v>100</v>
      </c>
      <c r="M12" s="8">
        <v>50</v>
      </c>
      <c r="N12" s="8"/>
      <c r="O12" s="8"/>
      <c r="P12" s="8"/>
      <c r="Q12" s="8"/>
      <c r="R12" s="8"/>
      <c r="S12" s="8"/>
      <c r="T12" s="8"/>
      <c r="U12" s="8"/>
      <c r="V12" s="8"/>
      <c r="W12" s="8"/>
      <c r="X12" s="6" t="e">
        <f t="shared" si="0"/>
        <v>#VALUE!</v>
      </c>
      <c r="Y12" s="6" t="e">
        <f t="shared" si="1"/>
        <v>#VALUE!</v>
      </c>
      <c r="Z12" s="6" t="e">
        <f t="shared" si="2"/>
        <v>#VALUE!</v>
      </c>
      <c r="AA12" s="6" t="str">
        <f t="shared" si="3"/>
        <v>-&gt; ERROR</v>
      </c>
      <c r="AB12" t="str">
        <f>Respuestas!C19</f>
        <v>Importancia:</v>
      </c>
      <c r="AC12" t="s">
        <v>38</v>
      </c>
    </row>
    <row r="13" spans="1:29" x14ac:dyDescent="0.25">
      <c r="A13" t="s">
        <v>1</v>
      </c>
      <c r="B13" s="4" t="s">
        <v>52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3">
        <v>100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6" t="e">
        <f t="shared" si="0"/>
        <v>#VALUE!</v>
      </c>
      <c r="Y13" s="6" t="e">
        <f t="shared" si="1"/>
        <v>#VALUE!</v>
      </c>
      <c r="Z13" s="6" t="e">
        <f t="shared" si="2"/>
        <v>#VALUE!</v>
      </c>
      <c r="AA13" s="6" t="str">
        <f t="shared" si="3"/>
        <v>-&gt; ERROR</v>
      </c>
      <c r="AB13" t="str">
        <f>Respuestas!C20</f>
        <v>Importancia:</v>
      </c>
      <c r="AC13" t="s">
        <v>38</v>
      </c>
    </row>
    <row r="14" spans="1:29" x14ac:dyDescent="0.25">
      <c r="A14" t="s">
        <v>1</v>
      </c>
      <c r="B14" s="4" t="s">
        <v>53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>
        <v>25</v>
      </c>
      <c r="N14" s="3">
        <v>100</v>
      </c>
      <c r="O14" s="8"/>
      <c r="P14" s="8"/>
      <c r="Q14" s="8"/>
      <c r="R14" s="8"/>
      <c r="S14" s="8"/>
      <c r="T14" s="8"/>
      <c r="U14" s="8"/>
      <c r="V14" s="8"/>
      <c r="W14" s="8"/>
      <c r="X14" s="6" t="e">
        <f t="shared" si="0"/>
        <v>#VALUE!</v>
      </c>
      <c r="Y14" s="6" t="e">
        <f t="shared" si="1"/>
        <v>#VALUE!</v>
      </c>
      <c r="Z14" s="6" t="e">
        <f t="shared" si="2"/>
        <v>#VALUE!</v>
      </c>
      <c r="AA14" s="6" t="str">
        <f t="shared" si="3"/>
        <v>-&gt; ERROR</v>
      </c>
      <c r="AB14" t="str">
        <f>Respuestas!C21</f>
        <v>Importancia:</v>
      </c>
      <c r="AC14" t="s">
        <v>38</v>
      </c>
    </row>
    <row r="15" spans="1:29" x14ac:dyDescent="0.25">
      <c r="A15" t="s">
        <v>1</v>
      </c>
      <c r="B15" s="4" t="s">
        <v>54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>
        <v>50</v>
      </c>
      <c r="N15" s="8"/>
      <c r="O15" s="3">
        <v>100</v>
      </c>
      <c r="P15" s="8"/>
      <c r="Q15" s="8"/>
      <c r="R15" s="8"/>
      <c r="S15" s="8"/>
      <c r="T15" s="8"/>
      <c r="U15" s="8"/>
      <c r="V15" s="8"/>
      <c r="W15" s="8"/>
      <c r="X15" s="6" t="e">
        <f t="shared" si="0"/>
        <v>#VALUE!</v>
      </c>
      <c r="Y15" s="6" t="e">
        <f t="shared" si="1"/>
        <v>#VALUE!</v>
      </c>
      <c r="Z15" s="6" t="e">
        <f t="shared" si="2"/>
        <v>#VALUE!</v>
      </c>
      <c r="AA15" s="6" t="str">
        <f t="shared" si="3"/>
        <v>-&gt; ERROR</v>
      </c>
      <c r="AB15" t="str">
        <f>Respuestas!C22</f>
        <v>Importancia:</v>
      </c>
      <c r="AC15" t="s">
        <v>38</v>
      </c>
    </row>
    <row r="16" spans="1:29" x14ac:dyDescent="0.25">
      <c r="A16" t="s">
        <v>27</v>
      </c>
      <c r="B16" s="4" t="s">
        <v>21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3">
        <v>100</v>
      </c>
      <c r="Q16" s="8"/>
      <c r="R16" s="8"/>
      <c r="S16" s="8"/>
      <c r="T16" s="8"/>
      <c r="U16" s="8"/>
      <c r="V16" s="8"/>
      <c r="W16" s="8"/>
      <c r="X16" s="6" t="e">
        <f>MAX(((C16*C$24+D16*D$24+E16*E$24+F16*F$24+G16*G$24+H16*H$24)/$C$26),X17:X18)</f>
        <v>#VALUE!</v>
      </c>
      <c r="Y16" s="6" t="e">
        <f>MAX(((I16*I$24+J16*J$24+K16*K$24+L16*L$24+M16*M$24+N16*N$24+O16*O$24)/$C$27),Y17:Y18)</f>
        <v>#VALUE!</v>
      </c>
      <c r="Z16" s="6" t="e">
        <f>MAX(((P16*P$24+Q16*Q$24+R16*R$24+S16*S$24+T16*T$24+U16*U$24+V16*V$24+W16*W$24)/$C$28),Z17:Z18)</f>
        <v>#VALUE!</v>
      </c>
      <c r="AA16" s="6" t="str">
        <f t="shared" si="3"/>
        <v>-&gt; ERROR</v>
      </c>
      <c r="AB16" t="str">
        <f>Respuestas!C23</f>
        <v>Importancia:</v>
      </c>
      <c r="AC16" t="s">
        <v>38</v>
      </c>
    </row>
    <row r="17" spans="1:29" x14ac:dyDescent="0.25">
      <c r="A17" t="s">
        <v>27</v>
      </c>
      <c r="B17" s="4" t="s">
        <v>13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>
        <v>100</v>
      </c>
      <c r="Q17" s="3">
        <v>100</v>
      </c>
      <c r="R17" s="8"/>
      <c r="S17" s="8">
        <v>-25</v>
      </c>
      <c r="T17" s="8">
        <f>S17*T19/100+U17*T21/100</f>
        <v>-37.5</v>
      </c>
      <c r="U17" s="8">
        <v>-50</v>
      </c>
      <c r="V17" s="8"/>
      <c r="W17" s="8">
        <v>50</v>
      </c>
      <c r="X17" s="6" t="e">
        <f t="shared" si="0"/>
        <v>#VALUE!</v>
      </c>
      <c r="Y17" s="6" t="e">
        <f t="shared" si="1"/>
        <v>#VALUE!</v>
      </c>
      <c r="Z17" s="6" t="e">
        <f t="shared" si="2"/>
        <v>#VALUE!</v>
      </c>
      <c r="AA17" s="6" t="str">
        <f t="shared" si="3"/>
        <v>-&gt; ERROR</v>
      </c>
      <c r="AB17" t="str">
        <f>Respuestas!C24</f>
        <v>Importancia:</v>
      </c>
      <c r="AC17" t="s">
        <v>38</v>
      </c>
    </row>
    <row r="18" spans="1:29" x14ac:dyDescent="0.25">
      <c r="A18" t="s">
        <v>27</v>
      </c>
      <c r="B18" s="4" t="s">
        <v>14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>
        <v>100</v>
      </c>
      <c r="Q18" s="8"/>
      <c r="R18" s="3">
        <v>100</v>
      </c>
      <c r="S18" s="8">
        <v>100</v>
      </c>
      <c r="T18" s="8">
        <f>S18*T19/100+U18*T21/100</f>
        <v>87.5</v>
      </c>
      <c r="U18" s="8">
        <v>75</v>
      </c>
      <c r="V18" s="8">
        <v>-75</v>
      </c>
      <c r="W18" s="8">
        <v>-25</v>
      </c>
      <c r="X18" s="6" t="e">
        <f t="shared" si="0"/>
        <v>#VALUE!</v>
      </c>
      <c r="Y18" s="6" t="e">
        <f t="shared" si="1"/>
        <v>#VALUE!</v>
      </c>
      <c r="Z18" s="6" t="e">
        <f t="shared" si="2"/>
        <v>#VALUE!</v>
      </c>
      <c r="AA18" s="6" t="str">
        <f t="shared" si="3"/>
        <v>-&gt; ERROR</v>
      </c>
      <c r="AB18" t="str">
        <f>Respuestas!C25</f>
        <v>Importancia:</v>
      </c>
      <c r="AC18" t="s">
        <v>38</v>
      </c>
    </row>
    <row r="19" spans="1:29" x14ac:dyDescent="0.25">
      <c r="A19" t="s">
        <v>27</v>
      </c>
      <c r="B19" s="4" t="s">
        <v>55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3">
        <v>100</v>
      </c>
      <c r="T19" s="8">
        <v>50</v>
      </c>
      <c r="U19" s="8"/>
      <c r="V19" s="8"/>
      <c r="W19" s="8"/>
      <c r="X19" s="6" t="e">
        <f t="shared" si="0"/>
        <v>#VALUE!</v>
      </c>
      <c r="Y19" s="6" t="e">
        <f t="shared" si="1"/>
        <v>#VALUE!</v>
      </c>
      <c r="Z19" s="6" t="e">
        <f t="shared" si="2"/>
        <v>#VALUE!</v>
      </c>
      <c r="AA19" s="6" t="str">
        <f t="shared" si="3"/>
        <v>-&gt; ERROR</v>
      </c>
      <c r="AB19" t="str">
        <f>Respuestas!C26</f>
        <v>Importancia:</v>
      </c>
      <c r="AC19" t="s">
        <v>38</v>
      </c>
    </row>
    <row r="20" spans="1:29" x14ac:dyDescent="0.25">
      <c r="A20" t="s">
        <v>27</v>
      </c>
      <c r="B20" s="4" t="s">
        <v>56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3">
        <v>100</v>
      </c>
      <c r="U20" s="8"/>
      <c r="V20" s="8"/>
      <c r="W20" s="8"/>
      <c r="X20" s="6" t="e">
        <f t="shared" si="0"/>
        <v>#VALUE!</v>
      </c>
      <c r="Y20" s="6" t="e">
        <f t="shared" si="1"/>
        <v>#VALUE!</v>
      </c>
      <c r="Z20" s="6" t="e">
        <f t="shared" si="2"/>
        <v>#VALUE!</v>
      </c>
      <c r="AA20" s="6" t="str">
        <f t="shared" si="3"/>
        <v>-&gt; ERROR</v>
      </c>
      <c r="AB20" t="str">
        <f>Respuestas!C27</f>
        <v>Importancia:</v>
      </c>
      <c r="AC20" t="s">
        <v>38</v>
      </c>
    </row>
    <row r="21" spans="1:29" x14ac:dyDescent="0.25">
      <c r="A21" t="s">
        <v>27</v>
      </c>
      <c r="B21" s="4" t="s">
        <v>57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>
        <v>50</v>
      </c>
      <c r="U21" s="3">
        <v>100</v>
      </c>
      <c r="V21" s="8"/>
      <c r="W21" s="8"/>
      <c r="X21" s="6" t="e">
        <f t="shared" si="0"/>
        <v>#VALUE!</v>
      </c>
      <c r="Y21" s="6" t="e">
        <f t="shared" si="1"/>
        <v>#VALUE!</v>
      </c>
      <c r="Z21" s="6" t="e">
        <f t="shared" si="2"/>
        <v>#VALUE!</v>
      </c>
      <c r="AA21" s="6" t="str">
        <f t="shared" si="3"/>
        <v>-&gt; ERROR</v>
      </c>
      <c r="AB21" t="str">
        <f>Respuestas!C28</f>
        <v>Importancia:</v>
      </c>
      <c r="AC21" t="s">
        <v>38</v>
      </c>
    </row>
    <row r="22" spans="1:29" x14ac:dyDescent="0.25">
      <c r="A22" t="s">
        <v>27</v>
      </c>
      <c r="B22" s="4" t="s">
        <v>58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3">
        <v>100</v>
      </c>
      <c r="W22" s="8"/>
      <c r="X22" s="6" t="e">
        <f t="shared" si="0"/>
        <v>#VALUE!</v>
      </c>
      <c r="Y22" s="6" t="e">
        <f t="shared" si="1"/>
        <v>#VALUE!</v>
      </c>
      <c r="Z22" s="6" t="e">
        <f t="shared" si="2"/>
        <v>#VALUE!</v>
      </c>
      <c r="AA22" s="6" t="str">
        <f t="shared" si="3"/>
        <v>-&gt; ERROR</v>
      </c>
      <c r="AB22" t="str">
        <f>Respuestas!C29</f>
        <v>Importancia:</v>
      </c>
      <c r="AC22" t="s">
        <v>38</v>
      </c>
    </row>
    <row r="23" spans="1:29" x14ac:dyDescent="0.25">
      <c r="A23" t="s">
        <v>27</v>
      </c>
      <c r="B23" s="4" t="s">
        <v>59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3">
        <v>100</v>
      </c>
      <c r="X23" s="6" t="e">
        <f t="shared" si="0"/>
        <v>#VALUE!</v>
      </c>
      <c r="Y23" s="6" t="e">
        <f t="shared" si="1"/>
        <v>#VALUE!</v>
      </c>
      <c r="Z23" s="6" t="e">
        <f t="shared" si="2"/>
        <v>#VALUE!</v>
      </c>
      <c r="AA23" s="6" t="str">
        <f t="shared" si="3"/>
        <v>-&gt; ERROR</v>
      </c>
      <c r="AB23" t="str">
        <f>Respuestas!C30</f>
        <v>Importancia:</v>
      </c>
      <c r="AC23" t="s">
        <v>38</v>
      </c>
    </row>
    <row r="24" spans="1:29" x14ac:dyDescent="0.25">
      <c r="C24" s="1" t="str">
        <f>Respuestas!C10</f>
        <v>Importancia:</v>
      </c>
      <c r="D24" s="1" t="str">
        <f>Respuestas!C11</f>
        <v>Importancia:</v>
      </c>
      <c r="E24" s="1" t="str">
        <f>Respuestas!C12</f>
        <v>Importancia:</v>
      </c>
      <c r="F24" s="1" t="str">
        <f>Respuestas!C13</f>
        <v>Importancia:</v>
      </c>
      <c r="G24" s="1" t="str">
        <f>Respuestas!C14</f>
        <v>Importancia:</v>
      </c>
      <c r="H24" s="1" t="str">
        <f>Respuestas!C15</f>
        <v>Importancia:</v>
      </c>
      <c r="I24" s="1" t="str">
        <f>Respuestas!C16</f>
        <v>Importancia:</v>
      </c>
      <c r="J24" s="1" t="str">
        <f>Respuestas!C17</f>
        <v>Importancia:</v>
      </c>
      <c r="K24" s="1" t="str">
        <f>Respuestas!C18</f>
        <v>Importancia:</v>
      </c>
      <c r="L24" s="1" t="str">
        <f>Respuestas!C19</f>
        <v>Importancia:</v>
      </c>
      <c r="M24" s="1" t="str">
        <f>Respuestas!C20</f>
        <v>Importancia:</v>
      </c>
      <c r="N24" s="1" t="str">
        <f>Respuestas!C21</f>
        <v>Importancia:</v>
      </c>
      <c r="O24" s="1" t="str">
        <f>Respuestas!C22</f>
        <v>Importancia:</v>
      </c>
      <c r="P24" s="1" t="str">
        <f>Respuestas!C23</f>
        <v>Importancia:</v>
      </c>
      <c r="Q24" s="1" t="str">
        <f>Respuestas!C24</f>
        <v>Importancia:</v>
      </c>
      <c r="R24" s="1" t="str">
        <f>Respuestas!C25</f>
        <v>Importancia:</v>
      </c>
      <c r="S24" s="1" t="str">
        <f>Respuestas!C26</f>
        <v>Importancia:</v>
      </c>
      <c r="T24" s="1" t="str">
        <f>Respuestas!C27</f>
        <v>Importancia:</v>
      </c>
      <c r="U24" s="1" t="str">
        <f>Respuestas!C28</f>
        <v>Importancia:</v>
      </c>
      <c r="V24" s="1" t="str">
        <f>Respuestas!C29</f>
        <v>Importancia:</v>
      </c>
      <c r="W24" s="1" t="str">
        <f>Respuestas!C30</f>
        <v>Importancia:</v>
      </c>
    </row>
    <row r="26" spans="1:29" x14ac:dyDescent="0.25">
      <c r="B26" s="10" t="s">
        <v>39</v>
      </c>
      <c r="C26" s="1">
        <f>SUM(C24:H24)</f>
        <v>0</v>
      </c>
    </row>
    <row r="27" spans="1:29" x14ac:dyDescent="0.25">
      <c r="B27" s="10" t="s">
        <v>40</v>
      </c>
      <c r="C27" s="1">
        <f>SUM(I24:O24)</f>
        <v>0</v>
      </c>
      <c r="U27" s="1"/>
    </row>
    <row r="28" spans="1:29" x14ac:dyDescent="0.25">
      <c r="B28" s="10" t="s">
        <v>41</v>
      </c>
      <c r="C28" s="1">
        <f>SUM(P24:W24)</f>
        <v>0</v>
      </c>
      <c r="U28" s="1"/>
    </row>
    <row r="29" spans="1:29" x14ac:dyDescent="0.25">
      <c r="S29" s="1"/>
      <c r="T29" s="1"/>
    </row>
    <row r="30" spans="1:29" x14ac:dyDescent="0.25">
      <c r="A30">
        <v>1</v>
      </c>
      <c r="B30">
        <v>2</v>
      </c>
      <c r="C30" s="1">
        <v>3</v>
      </c>
      <c r="D30">
        <v>4</v>
      </c>
      <c r="E30">
        <v>5</v>
      </c>
      <c r="F30" s="1">
        <v>6</v>
      </c>
      <c r="G30">
        <v>7</v>
      </c>
      <c r="H30">
        <v>8</v>
      </c>
      <c r="I30" s="1">
        <v>9</v>
      </c>
      <c r="J30">
        <v>10</v>
      </c>
      <c r="K30">
        <v>11</v>
      </c>
      <c r="L30" s="1">
        <v>12</v>
      </c>
      <c r="M30">
        <v>13</v>
      </c>
      <c r="N30">
        <v>14</v>
      </c>
      <c r="O30" s="1">
        <v>15</v>
      </c>
      <c r="P30">
        <v>16</v>
      </c>
      <c r="Q30">
        <v>17</v>
      </c>
      <c r="R30" s="1">
        <v>18</v>
      </c>
      <c r="S30">
        <v>19</v>
      </c>
      <c r="T30">
        <v>20</v>
      </c>
      <c r="U30" s="1">
        <v>21</v>
      </c>
      <c r="V30">
        <v>22</v>
      </c>
      <c r="W30">
        <v>23</v>
      </c>
      <c r="X30" s="1">
        <v>24</v>
      </c>
      <c r="Y30">
        <v>25</v>
      </c>
      <c r="Z30">
        <v>26</v>
      </c>
      <c r="AA30" s="12">
        <v>27</v>
      </c>
      <c r="AB30" s="13">
        <v>28</v>
      </c>
      <c r="AC30" s="13">
        <v>29</v>
      </c>
    </row>
    <row r="31" spans="1:29" x14ac:dyDescent="0.25">
      <c r="S31" s="1"/>
      <c r="T31" s="1"/>
    </row>
    <row r="32" spans="1:29" x14ac:dyDescent="0.25">
      <c r="S32" s="1"/>
      <c r="T32" s="1"/>
    </row>
    <row r="33" spans="2:27" x14ac:dyDescent="0.25">
      <c r="C33" s="1" t="s">
        <v>60</v>
      </c>
      <c r="D33" s="1" t="s">
        <v>61</v>
      </c>
      <c r="E33" s="14" t="s">
        <v>47</v>
      </c>
      <c r="F33" s="15"/>
      <c r="G33" s="4" t="s">
        <v>62</v>
      </c>
      <c r="H33" s="4" t="s">
        <v>13</v>
      </c>
      <c r="I33" s="4" t="s">
        <v>14</v>
      </c>
      <c r="J33" s="4" t="s">
        <v>48</v>
      </c>
      <c r="K33" s="4" t="s">
        <v>49</v>
      </c>
      <c r="L33" s="4" t="s">
        <v>50</v>
      </c>
      <c r="M33" s="4" t="s">
        <v>17</v>
      </c>
      <c r="N33" s="4" t="s">
        <v>13</v>
      </c>
      <c r="O33" s="4" t="s">
        <v>14</v>
      </c>
      <c r="P33" s="4" t="s">
        <v>51</v>
      </c>
      <c r="Q33" s="4" t="s">
        <v>52</v>
      </c>
      <c r="R33" s="4" t="s">
        <v>53</v>
      </c>
      <c r="S33" s="4" t="s">
        <v>54</v>
      </c>
      <c r="T33" s="4" t="s">
        <v>21</v>
      </c>
      <c r="U33" s="4" t="s">
        <v>13</v>
      </c>
      <c r="V33" s="4" t="s">
        <v>14</v>
      </c>
      <c r="W33" s="4" t="s">
        <v>55</v>
      </c>
      <c r="X33" s="4" t="s">
        <v>56</v>
      </c>
      <c r="Y33" s="4" t="s">
        <v>57</v>
      </c>
      <c r="Z33" s="4" t="s">
        <v>58</v>
      </c>
      <c r="AA33" s="4" t="s">
        <v>59</v>
      </c>
    </row>
    <row r="34" spans="2:27" x14ac:dyDescent="0.25">
      <c r="B34" s="18" t="s">
        <v>62</v>
      </c>
      <c r="C34" s="19" t="str">
        <f>Respuestas!C10</f>
        <v>Importancia:</v>
      </c>
      <c r="D34" s="20" t="e">
        <f>IF(D35&gt;D36,D35,D36)</f>
        <v>#VALUE!</v>
      </c>
      <c r="E34" s="22" t="e">
        <f>IF(D35&gt;D36,E35,E36)</f>
        <v>#VALUE!</v>
      </c>
      <c r="F34" s="15"/>
      <c r="G34" s="17" t="e">
        <f>C3*C$24/$C$26/3</f>
        <v>#VALUE!</v>
      </c>
      <c r="H34" s="17" t="e">
        <f t="shared" ref="H34:L34" si="4">D3*D$24/$C$26/3</f>
        <v>#VALUE!</v>
      </c>
      <c r="I34" s="17" t="e">
        <f t="shared" si="4"/>
        <v>#VALUE!</v>
      </c>
      <c r="J34" s="17" t="e">
        <f t="shared" si="4"/>
        <v>#VALUE!</v>
      </c>
      <c r="K34" s="17" t="e">
        <f t="shared" si="4"/>
        <v>#VALUE!</v>
      </c>
      <c r="L34" s="17" t="e">
        <f t="shared" si="4"/>
        <v>#VALUE!</v>
      </c>
      <c r="M34" s="17" t="e">
        <f>I3*I$24/$C$27/3</f>
        <v>#VALUE!</v>
      </c>
      <c r="N34" s="17" t="e">
        <f t="shared" ref="N34:S34" si="5">J3*J$24/$C$27/3</f>
        <v>#VALUE!</v>
      </c>
      <c r="O34" s="17" t="e">
        <f t="shared" si="5"/>
        <v>#VALUE!</v>
      </c>
      <c r="P34" s="17" t="e">
        <f t="shared" si="5"/>
        <v>#VALUE!</v>
      </c>
      <c r="Q34" s="17" t="e">
        <f t="shared" si="5"/>
        <v>#VALUE!</v>
      </c>
      <c r="R34" s="17" t="e">
        <f t="shared" si="5"/>
        <v>#VALUE!</v>
      </c>
      <c r="S34" s="17" t="e">
        <f t="shared" si="5"/>
        <v>#VALUE!</v>
      </c>
      <c r="T34" s="17" t="e">
        <f>P3*P$24/$C$28/3</f>
        <v>#VALUE!</v>
      </c>
      <c r="U34" s="17" t="e">
        <f t="shared" ref="U34:AA34" si="6">Q3*Q$24/$C$28/3</f>
        <v>#VALUE!</v>
      </c>
      <c r="V34" s="17" t="e">
        <f t="shared" si="6"/>
        <v>#VALUE!</v>
      </c>
      <c r="W34" s="17" t="e">
        <f t="shared" si="6"/>
        <v>#VALUE!</v>
      </c>
      <c r="X34" s="17" t="e">
        <f t="shared" si="6"/>
        <v>#VALUE!</v>
      </c>
      <c r="Y34" s="17" t="e">
        <f t="shared" si="6"/>
        <v>#VALUE!</v>
      </c>
      <c r="Z34" s="17" t="e">
        <f t="shared" si="6"/>
        <v>#VALUE!</v>
      </c>
      <c r="AA34" s="17" t="e">
        <f t="shared" si="6"/>
        <v>#VALUE!</v>
      </c>
    </row>
    <row r="35" spans="2:27" x14ac:dyDescent="0.25">
      <c r="B35" s="18" t="s">
        <v>13</v>
      </c>
      <c r="C35" s="19" t="str">
        <f>Respuestas!C11</f>
        <v>Importancia:</v>
      </c>
      <c r="D35" s="21" t="e">
        <f t="shared" ref="D35:D54" si="7">ROUND(SUM(G35:AA35),2)</f>
        <v>#VALUE!</v>
      </c>
      <c r="E35" s="23" t="e">
        <f>_xlfn.CONCAT(H$33," (",ROUND(H35,2),")",CHAR(10),CHAR(10),G$33," (",ROUND(G35,2),")",CHAR(10),J$33," (",ROUND(J35,2),")",CHAR(10),K$33," (",ROUND(K35,2),")",CHAR(10),L$33," (",ROUND(L35,2),")")</f>
        <v>#VALUE!</v>
      </c>
      <c r="F35" s="15"/>
      <c r="G35" s="17" t="e">
        <f t="shared" ref="G35:L35" si="8">C4*C$24/$C$26/3</f>
        <v>#VALUE!</v>
      </c>
      <c r="H35" s="17" t="e">
        <f t="shared" si="8"/>
        <v>#VALUE!</v>
      </c>
      <c r="I35" s="17" t="e">
        <f t="shared" si="8"/>
        <v>#VALUE!</v>
      </c>
      <c r="J35" s="17" t="e">
        <f t="shared" si="8"/>
        <v>#VALUE!</v>
      </c>
      <c r="K35" s="17" t="e">
        <f t="shared" si="8"/>
        <v>#VALUE!</v>
      </c>
      <c r="L35" s="17" t="e">
        <f t="shared" si="8"/>
        <v>#VALUE!</v>
      </c>
      <c r="M35" s="17" t="e">
        <f t="shared" ref="M35:S35" si="9">I4*I$24/$C$27/3</f>
        <v>#VALUE!</v>
      </c>
      <c r="N35" s="17" t="e">
        <f t="shared" si="9"/>
        <v>#VALUE!</v>
      </c>
      <c r="O35" s="17" t="e">
        <f t="shared" si="9"/>
        <v>#VALUE!</v>
      </c>
      <c r="P35" s="17" t="e">
        <f t="shared" si="9"/>
        <v>#VALUE!</v>
      </c>
      <c r="Q35" s="17" t="e">
        <f t="shared" si="9"/>
        <v>#VALUE!</v>
      </c>
      <c r="R35" s="17" t="e">
        <f t="shared" si="9"/>
        <v>#VALUE!</v>
      </c>
      <c r="S35" s="17" t="e">
        <f t="shared" si="9"/>
        <v>#VALUE!</v>
      </c>
      <c r="T35" s="17" t="e">
        <f t="shared" ref="T35:AA35" si="10">P4*P$24/$C$28/3</f>
        <v>#VALUE!</v>
      </c>
      <c r="U35" s="17" t="e">
        <f t="shared" si="10"/>
        <v>#VALUE!</v>
      </c>
      <c r="V35" s="17" t="e">
        <f t="shared" si="10"/>
        <v>#VALUE!</v>
      </c>
      <c r="W35" s="17" t="e">
        <f t="shared" si="10"/>
        <v>#VALUE!</v>
      </c>
      <c r="X35" s="17" t="e">
        <f t="shared" si="10"/>
        <v>#VALUE!</v>
      </c>
      <c r="Y35" s="17" t="e">
        <f t="shared" si="10"/>
        <v>#VALUE!</v>
      </c>
      <c r="Z35" s="17" t="e">
        <f t="shared" si="10"/>
        <v>#VALUE!</v>
      </c>
      <c r="AA35" s="17" t="e">
        <f t="shared" si="10"/>
        <v>#VALUE!</v>
      </c>
    </row>
    <row r="36" spans="2:27" x14ac:dyDescent="0.25">
      <c r="B36" s="18" t="s">
        <v>14</v>
      </c>
      <c r="C36" s="19" t="str">
        <f>Respuestas!C12</f>
        <v>Importancia:</v>
      </c>
      <c r="D36" s="21" t="e">
        <f t="shared" si="7"/>
        <v>#VALUE!</v>
      </c>
      <c r="E36" s="23" t="e">
        <f>_xlfn.CONCAT(I$33," (",ROUND(I36,2),")",CHAR(10),CHAR(10),G$33," (",ROUND(G36,2),")",CHAR(10),J$33," (",ROUND(J36,2),")",CHAR(10),K$33," (",ROUND(K36,2),")",CHAR(10),L$33," (",ROUND(L36,2),")")</f>
        <v>#VALUE!</v>
      </c>
      <c r="F36" s="15"/>
      <c r="G36" s="17" t="e">
        <f t="shared" ref="G36:L36" si="11">C5*C$24/$C$26/3</f>
        <v>#VALUE!</v>
      </c>
      <c r="H36" s="17" t="e">
        <f t="shared" si="11"/>
        <v>#VALUE!</v>
      </c>
      <c r="I36" s="17" t="e">
        <f t="shared" si="11"/>
        <v>#VALUE!</v>
      </c>
      <c r="J36" s="17" t="e">
        <f t="shared" si="11"/>
        <v>#VALUE!</v>
      </c>
      <c r="K36" s="17" t="e">
        <f t="shared" si="11"/>
        <v>#VALUE!</v>
      </c>
      <c r="L36" s="17" t="e">
        <f t="shared" si="11"/>
        <v>#VALUE!</v>
      </c>
      <c r="M36" s="17" t="e">
        <f t="shared" ref="M36:S36" si="12">I5*I$24/$C$27/3</f>
        <v>#VALUE!</v>
      </c>
      <c r="N36" s="17" t="e">
        <f t="shared" si="12"/>
        <v>#VALUE!</v>
      </c>
      <c r="O36" s="17" t="e">
        <f t="shared" si="12"/>
        <v>#VALUE!</v>
      </c>
      <c r="P36" s="17" t="e">
        <f t="shared" si="12"/>
        <v>#VALUE!</v>
      </c>
      <c r="Q36" s="17" t="e">
        <f t="shared" si="12"/>
        <v>#VALUE!</v>
      </c>
      <c r="R36" s="17" t="e">
        <f t="shared" si="12"/>
        <v>#VALUE!</v>
      </c>
      <c r="S36" s="17" t="e">
        <f t="shared" si="12"/>
        <v>#VALUE!</v>
      </c>
      <c r="T36" s="17" t="e">
        <f t="shared" ref="T36:AA36" si="13">P5*P$24/$C$28/3</f>
        <v>#VALUE!</v>
      </c>
      <c r="U36" s="17" t="e">
        <f t="shared" si="13"/>
        <v>#VALUE!</v>
      </c>
      <c r="V36" s="17" t="e">
        <f t="shared" si="13"/>
        <v>#VALUE!</v>
      </c>
      <c r="W36" s="17" t="e">
        <f t="shared" si="13"/>
        <v>#VALUE!</v>
      </c>
      <c r="X36" s="17" t="e">
        <f t="shared" si="13"/>
        <v>#VALUE!</v>
      </c>
      <c r="Y36" s="17" t="e">
        <f t="shared" si="13"/>
        <v>#VALUE!</v>
      </c>
      <c r="Z36" s="17" t="e">
        <f t="shared" si="13"/>
        <v>#VALUE!</v>
      </c>
      <c r="AA36" s="17" t="e">
        <f t="shared" si="13"/>
        <v>#VALUE!</v>
      </c>
    </row>
    <row r="37" spans="2:27" x14ac:dyDescent="0.25">
      <c r="B37" s="18" t="s">
        <v>48</v>
      </c>
      <c r="C37" s="19" t="str">
        <f>Respuestas!C13</f>
        <v>Importancia:</v>
      </c>
      <c r="D37" s="21" t="e">
        <f t="shared" si="7"/>
        <v>#VALUE!</v>
      </c>
      <c r="E37" s="23" t="e">
        <f>_xlfn.CONCAT(J$33," (",ROUND(J37,2),")")</f>
        <v>#VALUE!</v>
      </c>
      <c r="F37" s="15"/>
      <c r="G37" s="17" t="e">
        <f t="shared" ref="G37:L37" si="14">C6*C$24/$C$26/3</f>
        <v>#VALUE!</v>
      </c>
      <c r="H37" s="17" t="e">
        <f t="shared" si="14"/>
        <v>#VALUE!</v>
      </c>
      <c r="I37" s="17" t="e">
        <f t="shared" si="14"/>
        <v>#VALUE!</v>
      </c>
      <c r="J37" s="17" t="e">
        <f t="shared" si="14"/>
        <v>#VALUE!</v>
      </c>
      <c r="K37" s="17" t="e">
        <f t="shared" si="14"/>
        <v>#VALUE!</v>
      </c>
      <c r="L37" s="17" t="e">
        <f t="shared" si="14"/>
        <v>#VALUE!</v>
      </c>
      <c r="M37" s="17" t="e">
        <f t="shared" ref="M37:S37" si="15">I6*I$24/$C$27/3</f>
        <v>#VALUE!</v>
      </c>
      <c r="N37" s="17" t="e">
        <f t="shared" si="15"/>
        <v>#VALUE!</v>
      </c>
      <c r="O37" s="17" t="e">
        <f t="shared" si="15"/>
        <v>#VALUE!</v>
      </c>
      <c r="P37" s="17" t="e">
        <f t="shared" si="15"/>
        <v>#VALUE!</v>
      </c>
      <c r="Q37" s="17" t="e">
        <f t="shared" si="15"/>
        <v>#VALUE!</v>
      </c>
      <c r="R37" s="17" t="e">
        <f t="shared" si="15"/>
        <v>#VALUE!</v>
      </c>
      <c r="S37" s="17" t="e">
        <f t="shared" si="15"/>
        <v>#VALUE!</v>
      </c>
      <c r="T37" s="17" t="e">
        <f t="shared" ref="T37:AA37" si="16">P6*P$24/$C$28/3</f>
        <v>#VALUE!</v>
      </c>
      <c r="U37" s="17" t="e">
        <f t="shared" si="16"/>
        <v>#VALUE!</v>
      </c>
      <c r="V37" s="17" t="e">
        <f t="shared" si="16"/>
        <v>#VALUE!</v>
      </c>
      <c r="W37" s="17" t="e">
        <f t="shared" si="16"/>
        <v>#VALUE!</v>
      </c>
      <c r="X37" s="17" t="e">
        <f t="shared" si="16"/>
        <v>#VALUE!</v>
      </c>
      <c r="Y37" s="17" t="e">
        <f t="shared" si="16"/>
        <v>#VALUE!</v>
      </c>
      <c r="Z37" s="17" t="e">
        <f t="shared" si="16"/>
        <v>#VALUE!</v>
      </c>
      <c r="AA37" s="17" t="e">
        <f t="shared" si="16"/>
        <v>#VALUE!</v>
      </c>
    </row>
    <row r="38" spans="2:27" x14ac:dyDescent="0.25">
      <c r="B38" s="18" t="s">
        <v>49</v>
      </c>
      <c r="C38" s="19" t="str">
        <f>Respuestas!C14</f>
        <v>Importancia:</v>
      </c>
      <c r="D38" s="21" t="e">
        <f t="shared" si="7"/>
        <v>#VALUE!</v>
      </c>
      <c r="E38" s="23" t="e">
        <f>_xlfn.CONCAT(K$33," (",ROUND(K38,2),")")</f>
        <v>#VALUE!</v>
      </c>
      <c r="F38" s="15"/>
      <c r="G38" s="17" t="e">
        <f t="shared" ref="G38:L38" si="17">C7*C$24/$C$26/3</f>
        <v>#VALUE!</v>
      </c>
      <c r="H38" s="17" t="e">
        <f t="shared" si="17"/>
        <v>#VALUE!</v>
      </c>
      <c r="I38" s="17" t="e">
        <f t="shared" si="17"/>
        <v>#VALUE!</v>
      </c>
      <c r="J38" s="17" t="e">
        <f t="shared" si="17"/>
        <v>#VALUE!</v>
      </c>
      <c r="K38" s="17" t="e">
        <f t="shared" si="17"/>
        <v>#VALUE!</v>
      </c>
      <c r="L38" s="17" t="e">
        <f t="shared" si="17"/>
        <v>#VALUE!</v>
      </c>
      <c r="M38" s="17" t="e">
        <f t="shared" ref="M38:S38" si="18">I7*I$24/$C$27/3</f>
        <v>#VALUE!</v>
      </c>
      <c r="N38" s="17" t="e">
        <f t="shared" si="18"/>
        <v>#VALUE!</v>
      </c>
      <c r="O38" s="17" t="e">
        <f t="shared" si="18"/>
        <v>#VALUE!</v>
      </c>
      <c r="P38" s="17" t="e">
        <f t="shared" si="18"/>
        <v>#VALUE!</v>
      </c>
      <c r="Q38" s="17" t="e">
        <f t="shared" si="18"/>
        <v>#VALUE!</v>
      </c>
      <c r="R38" s="17" t="e">
        <f t="shared" si="18"/>
        <v>#VALUE!</v>
      </c>
      <c r="S38" s="17" t="e">
        <f t="shared" si="18"/>
        <v>#VALUE!</v>
      </c>
      <c r="T38" s="17" t="e">
        <f t="shared" ref="T38:AA38" si="19">P7*P$24/$C$28/3</f>
        <v>#VALUE!</v>
      </c>
      <c r="U38" s="17" t="e">
        <f t="shared" si="19"/>
        <v>#VALUE!</v>
      </c>
      <c r="V38" s="17" t="e">
        <f t="shared" si="19"/>
        <v>#VALUE!</v>
      </c>
      <c r="W38" s="17" t="e">
        <f t="shared" si="19"/>
        <v>#VALUE!</v>
      </c>
      <c r="X38" s="17" t="e">
        <f t="shared" si="19"/>
        <v>#VALUE!</v>
      </c>
      <c r="Y38" s="17" t="e">
        <f t="shared" si="19"/>
        <v>#VALUE!</v>
      </c>
      <c r="Z38" s="17" t="e">
        <f t="shared" si="19"/>
        <v>#VALUE!</v>
      </c>
      <c r="AA38" s="17" t="e">
        <f t="shared" si="19"/>
        <v>#VALUE!</v>
      </c>
    </row>
    <row r="39" spans="2:27" x14ac:dyDescent="0.25">
      <c r="B39" s="18" t="s">
        <v>50</v>
      </c>
      <c r="C39" s="19" t="str">
        <f>Respuestas!C15</f>
        <v>Importancia:</v>
      </c>
      <c r="D39" s="21" t="e">
        <f t="shared" si="7"/>
        <v>#VALUE!</v>
      </c>
      <c r="E39" s="23" t="e">
        <f>_xlfn.CONCAT(L$33," (",ROUND(L39,2),")",CHAR(10),CHAR(10),K$33," (",ROUND(K39,2),")")</f>
        <v>#VALUE!</v>
      </c>
      <c r="F39" s="15"/>
      <c r="G39" s="17" t="e">
        <f t="shared" ref="G39:L39" si="20">C8*C$24/$C$26/3</f>
        <v>#VALUE!</v>
      </c>
      <c r="H39" s="17" t="e">
        <f t="shared" si="20"/>
        <v>#VALUE!</v>
      </c>
      <c r="I39" s="17" t="e">
        <f t="shared" si="20"/>
        <v>#VALUE!</v>
      </c>
      <c r="J39" s="17" t="e">
        <f t="shared" si="20"/>
        <v>#VALUE!</v>
      </c>
      <c r="K39" s="17" t="e">
        <f t="shared" si="20"/>
        <v>#VALUE!</v>
      </c>
      <c r="L39" s="17" t="e">
        <f t="shared" si="20"/>
        <v>#VALUE!</v>
      </c>
      <c r="M39" s="17" t="e">
        <f t="shared" ref="M39:S39" si="21">I8*I$24/$C$27/3</f>
        <v>#VALUE!</v>
      </c>
      <c r="N39" s="17" t="e">
        <f t="shared" si="21"/>
        <v>#VALUE!</v>
      </c>
      <c r="O39" s="17" t="e">
        <f t="shared" si="21"/>
        <v>#VALUE!</v>
      </c>
      <c r="P39" s="17" t="e">
        <f t="shared" si="21"/>
        <v>#VALUE!</v>
      </c>
      <c r="Q39" s="17" t="e">
        <f t="shared" si="21"/>
        <v>#VALUE!</v>
      </c>
      <c r="R39" s="17" t="e">
        <f t="shared" si="21"/>
        <v>#VALUE!</v>
      </c>
      <c r="S39" s="17" t="e">
        <f t="shared" si="21"/>
        <v>#VALUE!</v>
      </c>
      <c r="T39" s="17" t="e">
        <f t="shared" ref="T39:AA39" si="22">P8*P$24/$C$28/3</f>
        <v>#VALUE!</v>
      </c>
      <c r="U39" s="17" t="e">
        <f t="shared" si="22"/>
        <v>#VALUE!</v>
      </c>
      <c r="V39" s="17" t="e">
        <f t="shared" si="22"/>
        <v>#VALUE!</v>
      </c>
      <c r="W39" s="17" t="e">
        <f t="shared" si="22"/>
        <v>#VALUE!</v>
      </c>
      <c r="X39" s="17" t="e">
        <f t="shared" si="22"/>
        <v>#VALUE!</v>
      </c>
      <c r="Y39" s="17" t="e">
        <f t="shared" si="22"/>
        <v>#VALUE!</v>
      </c>
      <c r="Z39" s="17" t="e">
        <f t="shared" si="22"/>
        <v>#VALUE!</v>
      </c>
      <c r="AA39" s="17" t="e">
        <f t="shared" si="22"/>
        <v>#VALUE!</v>
      </c>
    </row>
    <row r="40" spans="2:27" x14ac:dyDescent="0.25">
      <c r="B40" s="18" t="s">
        <v>17</v>
      </c>
      <c r="C40" s="19" t="str">
        <f>Respuestas!C16</f>
        <v>Importancia:</v>
      </c>
      <c r="D40" s="20" t="e">
        <f>IF(D41&gt;D42,D41,D42)</f>
        <v>#VALUE!</v>
      </c>
      <c r="E40" s="22" t="e">
        <f>IF(D41&gt;D42,E41,E42)</f>
        <v>#VALUE!</v>
      </c>
      <c r="F40" s="15"/>
      <c r="G40" s="17" t="e">
        <f t="shared" ref="G40:L40" si="23">C9*C$24/$C$26/3</f>
        <v>#VALUE!</v>
      </c>
      <c r="H40" s="17" t="e">
        <f t="shared" si="23"/>
        <v>#VALUE!</v>
      </c>
      <c r="I40" s="17" t="e">
        <f t="shared" si="23"/>
        <v>#VALUE!</v>
      </c>
      <c r="J40" s="17" t="e">
        <f t="shared" si="23"/>
        <v>#VALUE!</v>
      </c>
      <c r="K40" s="17" t="e">
        <f t="shared" si="23"/>
        <v>#VALUE!</v>
      </c>
      <c r="L40" s="17" t="e">
        <f t="shared" si="23"/>
        <v>#VALUE!</v>
      </c>
      <c r="M40" s="17" t="e">
        <f t="shared" ref="M40:S40" si="24">I9*I$24/$C$27/3</f>
        <v>#VALUE!</v>
      </c>
      <c r="N40" s="17" t="e">
        <f t="shared" si="24"/>
        <v>#VALUE!</v>
      </c>
      <c r="O40" s="17" t="e">
        <f t="shared" si="24"/>
        <v>#VALUE!</v>
      </c>
      <c r="P40" s="17" t="e">
        <f t="shared" si="24"/>
        <v>#VALUE!</v>
      </c>
      <c r="Q40" s="17" t="e">
        <f t="shared" si="24"/>
        <v>#VALUE!</v>
      </c>
      <c r="R40" s="17" t="e">
        <f t="shared" si="24"/>
        <v>#VALUE!</v>
      </c>
      <c r="S40" s="17" t="e">
        <f t="shared" si="24"/>
        <v>#VALUE!</v>
      </c>
      <c r="T40" s="17" t="e">
        <f t="shared" ref="T40:AA40" si="25">P9*P$24/$C$28/3</f>
        <v>#VALUE!</v>
      </c>
      <c r="U40" s="17" t="e">
        <f t="shared" si="25"/>
        <v>#VALUE!</v>
      </c>
      <c r="V40" s="17" t="e">
        <f t="shared" si="25"/>
        <v>#VALUE!</v>
      </c>
      <c r="W40" s="17" t="e">
        <f t="shared" si="25"/>
        <v>#VALUE!</v>
      </c>
      <c r="X40" s="17" t="e">
        <f t="shared" si="25"/>
        <v>#VALUE!</v>
      </c>
      <c r="Y40" s="17" t="e">
        <f t="shared" si="25"/>
        <v>#VALUE!</v>
      </c>
      <c r="Z40" s="17" t="e">
        <f t="shared" si="25"/>
        <v>#VALUE!</v>
      </c>
      <c r="AA40" s="17" t="e">
        <f t="shared" si="25"/>
        <v>#VALUE!</v>
      </c>
    </row>
    <row r="41" spans="2:27" x14ac:dyDescent="0.25">
      <c r="B41" s="18" t="s">
        <v>13</v>
      </c>
      <c r="C41" s="19" t="str">
        <f>Respuestas!C17</f>
        <v>Importancia:</v>
      </c>
      <c r="D41" s="21" t="e">
        <f t="shared" si="7"/>
        <v>#VALUE!</v>
      </c>
      <c r="E41" s="23" t="e">
        <f>_xlfn.CONCAT(N$33," (",ROUND(N41,2),")",CHAR(10),CHAR(10),M$33," (",ROUND(M41,2),")",CHAR(10),P$33," (",ROUND(P41,2),")",CHAR(10),Q$33," (",ROUND(Q41,2),")",CHAR(10),R$33," (",ROUND(R41,2),")",CHAR(10),S$33," (",ROUND(S41,2),")")</f>
        <v>#VALUE!</v>
      </c>
      <c r="F41" s="15"/>
      <c r="G41" s="17" t="e">
        <f t="shared" ref="G41:L41" si="26">C10*C$24/$C$26/3</f>
        <v>#VALUE!</v>
      </c>
      <c r="H41" s="17" t="e">
        <f t="shared" si="26"/>
        <v>#VALUE!</v>
      </c>
      <c r="I41" s="17" t="e">
        <f t="shared" si="26"/>
        <v>#VALUE!</v>
      </c>
      <c r="J41" s="17" t="e">
        <f t="shared" si="26"/>
        <v>#VALUE!</v>
      </c>
      <c r="K41" s="17" t="e">
        <f t="shared" si="26"/>
        <v>#VALUE!</v>
      </c>
      <c r="L41" s="17" t="e">
        <f t="shared" si="26"/>
        <v>#VALUE!</v>
      </c>
      <c r="M41" s="17" t="e">
        <f t="shared" ref="M41:S41" si="27">I10*I$24/$C$27/3</f>
        <v>#VALUE!</v>
      </c>
      <c r="N41" s="17" t="e">
        <f t="shared" si="27"/>
        <v>#VALUE!</v>
      </c>
      <c r="O41" s="17" t="e">
        <f t="shared" si="27"/>
        <v>#VALUE!</v>
      </c>
      <c r="P41" s="17" t="e">
        <f t="shared" si="27"/>
        <v>#VALUE!</v>
      </c>
      <c r="Q41" s="17" t="e">
        <f t="shared" si="27"/>
        <v>#VALUE!</v>
      </c>
      <c r="R41" s="17" t="e">
        <f t="shared" si="27"/>
        <v>#VALUE!</v>
      </c>
      <c r="S41" s="17" t="e">
        <f t="shared" si="27"/>
        <v>#VALUE!</v>
      </c>
      <c r="T41" s="17" t="e">
        <f t="shared" ref="T41:AA41" si="28">P10*P$24/$C$28/3</f>
        <v>#VALUE!</v>
      </c>
      <c r="U41" s="17" t="e">
        <f t="shared" si="28"/>
        <v>#VALUE!</v>
      </c>
      <c r="V41" s="17" t="e">
        <f t="shared" si="28"/>
        <v>#VALUE!</v>
      </c>
      <c r="W41" s="17" t="e">
        <f t="shared" si="28"/>
        <v>#VALUE!</v>
      </c>
      <c r="X41" s="17" t="e">
        <f t="shared" si="28"/>
        <v>#VALUE!</v>
      </c>
      <c r="Y41" s="17" t="e">
        <f t="shared" si="28"/>
        <v>#VALUE!</v>
      </c>
      <c r="Z41" s="17" t="e">
        <f t="shared" si="28"/>
        <v>#VALUE!</v>
      </c>
      <c r="AA41" s="17" t="e">
        <f t="shared" si="28"/>
        <v>#VALUE!</v>
      </c>
    </row>
    <row r="42" spans="2:27" x14ac:dyDescent="0.25">
      <c r="B42" s="18" t="s">
        <v>14</v>
      </c>
      <c r="C42" s="19" t="str">
        <f>Respuestas!C18</f>
        <v>Importancia:</v>
      </c>
      <c r="D42" s="21" t="e">
        <f t="shared" si="7"/>
        <v>#VALUE!</v>
      </c>
      <c r="E42" s="23" t="e">
        <f>_xlfn.CONCAT(O$33," (",ROUND(O42,2),")",CHAR(10),CHAR(10),M$33," (",ROUND(M42,2),")",CHAR(10),P$33," (",ROUND(P42,2),")",CHAR(10),Q$33," (",ROUND(Q42,2),")",CHAR(10),R$33," (",ROUND(R42,2),")",CHAR(10),S$33," (",ROUND(S42,2),")")</f>
        <v>#VALUE!</v>
      </c>
      <c r="F42" s="15"/>
      <c r="G42" s="17" t="e">
        <f t="shared" ref="G42:L42" si="29">C11*C$24/$C$26/3</f>
        <v>#VALUE!</v>
      </c>
      <c r="H42" s="17" t="e">
        <f t="shared" si="29"/>
        <v>#VALUE!</v>
      </c>
      <c r="I42" s="17" t="e">
        <f t="shared" si="29"/>
        <v>#VALUE!</v>
      </c>
      <c r="J42" s="17" t="e">
        <f t="shared" si="29"/>
        <v>#VALUE!</v>
      </c>
      <c r="K42" s="17" t="e">
        <f t="shared" si="29"/>
        <v>#VALUE!</v>
      </c>
      <c r="L42" s="17" t="e">
        <f t="shared" si="29"/>
        <v>#VALUE!</v>
      </c>
      <c r="M42" s="17" t="e">
        <f t="shared" ref="M42:S42" si="30">I11*I$24/$C$27/3</f>
        <v>#VALUE!</v>
      </c>
      <c r="N42" s="17" t="e">
        <f t="shared" si="30"/>
        <v>#VALUE!</v>
      </c>
      <c r="O42" s="17" t="e">
        <f t="shared" si="30"/>
        <v>#VALUE!</v>
      </c>
      <c r="P42" s="17" t="e">
        <f t="shared" si="30"/>
        <v>#VALUE!</v>
      </c>
      <c r="Q42" s="17" t="e">
        <f t="shared" si="30"/>
        <v>#VALUE!</v>
      </c>
      <c r="R42" s="17" t="e">
        <f t="shared" si="30"/>
        <v>#VALUE!</v>
      </c>
      <c r="S42" s="17" t="e">
        <f t="shared" si="30"/>
        <v>#VALUE!</v>
      </c>
      <c r="T42" s="17" t="e">
        <f t="shared" ref="T42:AA42" si="31">P11*P$24/$C$28/3</f>
        <v>#VALUE!</v>
      </c>
      <c r="U42" s="17" t="e">
        <f t="shared" si="31"/>
        <v>#VALUE!</v>
      </c>
      <c r="V42" s="17" t="e">
        <f t="shared" si="31"/>
        <v>#VALUE!</v>
      </c>
      <c r="W42" s="17" t="e">
        <f t="shared" si="31"/>
        <v>#VALUE!</v>
      </c>
      <c r="X42" s="17" t="e">
        <f t="shared" si="31"/>
        <v>#VALUE!</v>
      </c>
      <c r="Y42" s="17" t="e">
        <f t="shared" si="31"/>
        <v>#VALUE!</v>
      </c>
      <c r="Z42" s="17" t="e">
        <f t="shared" si="31"/>
        <v>#VALUE!</v>
      </c>
      <c r="AA42" s="17" t="e">
        <f t="shared" si="31"/>
        <v>#VALUE!</v>
      </c>
    </row>
    <row r="43" spans="2:27" x14ac:dyDescent="0.25">
      <c r="B43" s="18" t="s">
        <v>51</v>
      </c>
      <c r="C43" s="19" t="str">
        <f>Respuestas!C19</f>
        <v>Importancia:</v>
      </c>
      <c r="D43" s="21" t="e">
        <f t="shared" si="7"/>
        <v>#VALUE!</v>
      </c>
      <c r="E43" s="23" t="e">
        <f>_xlfn.CONCAT(P$33," (",ROUND(P43,2),")",CHAR(10),CHAR(10),Q$33," (",ROUND(Q43,2),")")</f>
        <v>#VALUE!</v>
      </c>
      <c r="F43" s="15"/>
      <c r="G43" s="17" t="e">
        <f t="shared" ref="G43:L43" si="32">C12*C$24/$C$26/3</f>
        <v>#VALUE!</v>
      </c>
      <c r="H43" s="17" t="e">
        <f t="shared" si="32"/>
        <v>#VALUE!</v>
      </c>
      <c r="I43" s="17" t="e">
        <f t="shared" si="32"/>
        <v>#VALUE!</v>
      </c>
      <c r="J43" s="17" t="e">
        <f t="shared" si="32"/>
        <v>#VALUE!</v>
      </c>
      <c r="K43" s="17" t="e">
        <f t="shared" si="32"/>
        <v>#VALUE!</v>
      </c>
      <c r="L43" s="17" t="e">
        <f t="shared" si="32"/>
        <v>#VALUE!</v>
      </c>
      <c r="M43" s="17" t="e">
        <f t="shared" ref="M43:S43" si="33">I12*I$24/$C$27/3</f>
        <v>#VALUE!</v>
      </c>
      <c r="N43" s="17" t="e">
        <f t="shared" si="33"/>
        <v>#VALUE!</v>
      </c>
      <c r="O43" s="17" t="e">
        <f t="shared" si="33"/>
        <v>#VALUE!</v>
      </c>
      <c r="P43" s="17" t="e">
        <f t="shared" si="33"/>
        <v>#VALUE!</v>
      </c>
      <c r="Q43" s="17" t="e">
        <f t="shared" si="33"/>
        <v>#VALUE!</v>
      </c>
      <c r="R43" s="17" t="e">
        <f t="shared" si="33"/>
        <v>#VALUE!</v>
      </c>
      <c r="S43" s="17" t="e">
        <f t="shared" si="33"/>
        <v>#VALUE!</v>
      </c>
      <c r="T43" s="17" t="e">
        <f t="shared" ref="T43:AA43" si="34">P12*P$24/$C$28/3</f>
        <v>#VALUE!</v>
      </c>
      <c r="U43" s="17" t="e">
        <f t="shared" si="34"/>
        <v>#VALUE!</v>
      </c>
      <c r="V43" s="17" t="e">
        <f t="shared" si="34"/>
        <v>#VALUE!</v>
      </c>
      <c r="W43" s="17" t="e">
        <f t="shared" si="34"/>
        <v>#VALUE!</v>
      </c>
      <c r="X43" s="17" t="e">
        <f t="shared" si="34"/>
        <v>#VALUE!</v>
      </c>
      <c r="Y43" s="17" t="e">
        <f t="shared" si="34"/>
        <v>#VALUE!</v>
      </c>
      <c r="Z43" s="17" t="e">
        <f t="shared" si="34"/>
        <v>#VALUE!</v>
      </c>
      <c r="AA43" s="17" t="e">
        <f t="shared" si="34"/>
        <v>#VALUE!</v>
      </c>
    </row>
    <row r="44" spans="2:27" x14ac:dyDescent="0.25">
      <c r="B44" s="18" t="s">
        <v>52</v>
      </c>
      <c r="C44" s="19" t="str">
        <f>Respuestas!C20</f>
        <v>Importancia:</v>
      </c>
      <c r="D44" s="21" t="e">
        <f t="shared" si="7"/>
        <v>#VALUE!</v>
      </c>
      <c r="E44" s="23" t="e">
        <f>_xlfn.CONCAT(Q$33," (",ROUND(Q44,2),")")</f>
        <v>#VALUE!</v>
      </c>
      <c r="F44" s="15"/>
      <c r="G44" s="17" t="e">
        <f t="shared" ref="G44:L44" si="35">C13*C$24/$C$26/3</f>
        <v>#VALUE!</v>
      </c>
      <c r="H44" s="17" t="e">
        <f t="shared" si="35"/>
        <v>#VALUE!</v>
      </c>
      <c r="I44" s="17" t="e">
        <f t="shared" si="35"/>
        <v>#VALUE!</v>
      </c>
      <c r="J44" s="17" t="e">
        <f t="shared" si="35"/>
        <v>#VALUE!</v>
      </c>
      <c r="K44" s="17" t="e">
        <f t="shared" si="35"/>
        <v>#VALUE!</v>
      </c>
      <c r="L44" s="17" t="e">
        <f t="shared" si="35"/>
        <v>#VALUE!</v>
      </c>
      <c r="M44" s="17" t="e">
        <f t="shared" ref="M44:S44" si="36">I13*I$24/$C$27/3</f>
        <v>#VALUE!</v>
      </c>
      <c r="N44" s="17" t="e">
        <f t="shared" si="36"/>
        <v>#VALUE!</v>
      </c>
      <c r="O44" s="17" t="e">
        <f t="shared" si="36"/>
        <v>#VALUE!</v>
      </c>
      <c r="P44" s="17" t="e">
        <f t="shared" si="36"/>
        <v>#VALUE!</v>
      </c>
      <c r="Q44" s="17" t="e">
        <f t="shared" si="36"/>
        <v>#VALUE!</v>
      </c>
      <c r="R44" s="17" t="e">
        <f t="shared" si="36"/>
        <v>#VALUE!</v>
      </c>
      <c r="S44" s="17" t="e">
        <f t="shared" si="36"/>
        <v>#VALUE!</v>
      </c>
      <c r="T44" s="17" t="e">
        <f t="shared" ref="T44:AA44" si="37">P13*P$24/$C$28/3</f>
        <v>#VALUE!</v>
      </c>
      <c r="U44" s="17" t="e">
        <f t="shared" si="37"/>
        <v>#VALUE!</v>
      </c>
      <c r="V44" s="17" t="e">
        <f t="shared" si="37"/>
        <v>#VALUE!</v>
      </c>
      <c r="W44" s="17" t="e">
        <f t="shared" si="37"/>
        <v>#VALUE!</v>
      </c>
      <c r="X44" s="17" t="e">
        <f t="shared" si="37"/>
        <v>#VALUE!</v>
      </c>
      <c r="Y44" s="17" t="e">
        <f t="shared" si="37"/>
        <v>#VALUE!</v>
      </c>
      <c r="Z44" s="17" t="e">
        <f t="shared" si="37"/>
        <v>#VALUE!</v>
      </c>
      <c r="AA44" s="17" t="e">
        <f t="shared" si="37"/>
        <v>#VALUE!</v>
      </c>
    </row>
    <row r="45" spans="2:27" x14ac:dyDescent="0.25">
      <c r="B45" s="18" t="s">
        <v>53</v>
      </c>
      <c r="C45" s="19" t="str">
        <f>Respuestas!C21</f>
        <v>Importancia:</v>
      </c>
      <c r="D45" s="21" t="e">
        <f t="shared" si="7"/>
        <v>#VALUE!</v>
      </c>
      <c r="E45" s="23" t="e">
        <f>_xlfn.CONCAT(R$33," (",ROUND(R45,2),")",CHAR(10),CHAR(10),Q$33," (",ROUND(Q45,2),")")</f>
        <v>#VALUE!</v>
      </c>
      <c r="F45" s="15"/>
      <c r="G45" s="17" t="e">
        <f t="shared" ref="G45:L45" si="38">C14*C$24/$C$26/3</f>
        <v>#VALUE!</v>
      </c>
      <c r="H45" s="17" t="e">
        <f t="shared" si="38"/>
        <v>#VALUE!</v>
      </c>
      <c r="I45" s="17" t="e">
        <f t="shared" si="38"/>
        <v>#VALUE!</v>
      </c>
      <c r="J45" s="17" t="e">
        <f t="shared" si="38"/>
        <v>#VALUE!</v>
      </c>
      <c r="K45" s="17" t="e">
        <f t="shared" si="38"/>
        <v>#VALUE!</v>
      </c>
      <c r="L45" s="17" t="e">
        <f t="shared" si="38"/>
        <v>#VALUE!</v>
      </c>
      <c r="M45" s="17" t="e">
        <f t="shared" ref="M45:S45" si="39">I14*I$24/$C$27/3</f>
        <v>#VALUE!</v>
      </c>
      <c r="N45" s="17" t="e">
        <f t="shared" si="39"/>
        <v>#VALUE!</v>
      </c>
      <c r="O45" s="17" t="e">
        <f t="shared" si="39"/>
        <v>#VALUE!</v>
      </c>
      <c r="P45" s="17" t="e">
        <f t="shared" si="39"/>
        <v>#VALUE!</v>
      </c>
      <c r="Q45" s="17" t="e">
        <f t="shared" si="39"/>
        <v>#VALUE!</v>
      </c>
      <c r="R45" s="17" t="e">
        <f t="shared" si="39"/>
        <v>#VALUE!</v>
      </c>
      <c r="S45" s="17" t="e">
        <f t="shared" si="39"/>
        <v>#VALUE!</v>
      </c>
      <c r="T45" s="17" t="e">
        <f t="shared" ref="T45:AA45" si="40">P14*P$24/$C$28/3</f>
        <v>#VALUE!</v>
      </c>
      <c r="U45" s="17" t="e">
        <f t="shared" si="40"/>
        <v>#VALUE!</v>
      </c>
      <c r="V45" s="17" t="e">
        <f t="shared" si="40"/>
        <v>#VALUE!</v>
      </c>
      <c r="W45" s="17" t="e">
        <f t="shared" si="40"/>
        <v>#VALUE!</v>
      </c>
      <c r="X45" s="17" t="e">
        <f t="shared" si="40"/>
        <v>#VALUE!</v>
      </c>
      <c r="Y45" s="17" t="e">
        <f t="shared" si="40"/>
        <v>#VALUE!</v>
      </c>
      <c r="Z45" s="17" t="e">
        <f t="shared" si="40"/>
        <v>#VALUE!</v>
      </c>
      <c r="AA45" s="17" t="e">
        <f t="shared" si="40"/>
        <v>#VALUE!</v>
      </c>
    </row>
    <row r="46" spans="2:27" x14ac:dyDescent="0.25">
      <c r="B46" s="18" t="s">
        <v>54</v>
      </c>
      <c r="C46" s="19" t="str">
        <f>Respuestas!C22</f>
        <v>Importancia:</v>
      </c>
      <c r="D46" s="21" t="e">
        <f t="shared" si="7"/>
        <v>#VALUE!</v>
      </c>
      <c r="E46" s="23" t="e">
        <f>_xlfn.CONCAT(S$33," (",ROUND(S46,2),")",CHAR(10),CHAR(10),Q$33," (",ROUND(Q46,2),")")</f>
        <v>#VALUE!</v>
      </c>
      <c r="F46" s="15"/>
      <c r="G46" s="17" t="e">
        <f t="shared" ref="G46:L46" si="41">C15*C$24/$C$26/3</f>
        <v>#VALUE!</v>
      </c>
      <c r="H46" s="17" t="e">
        <f t="shared" si="41"/>
        <v>#VALUE!</v>
      </c>
      <c r="I46" s="17" t="e">
        <f t="shared" si="41"/>
        <v>#VALUE!</v>
      </c>
      <c r="J46" s="17" t="e">
        <f t="shared" si="41"/>
        <v>#VALUE!</v>
      </c>
      <c r="K46" s="17" t="e">
        <f t="shared" si="41"/>
        <v>#VALUE!</v>
      </c>
      <c r="L46" s="17" t="e">
        <f t="shared" si="41"/>
        <v>#VALUE!</v>
      </c>
      <c r="M46" s="17" t="e">
        <f t="shared" ref="M46:S46" si="42">I15*I$24/$C$27/3</f>
        <v>#VALUE!</v>
      </c>
      <c r="N46" s="17" t="e">
        <f t="shared" si="42"/>
        <v>#VALUE!</v>
      </c>
      <c r="O46" s="17" t="e">
        <f t="shared" si="42"/>
        <v>#VALUE!</v>
      </c>
      <c r="P46" s="17" t="e">
        <f t="shared" si="42"/>
        <v>#VALUE!</v>
      </c>
      <c r="Q46" s="17" t="e">
        <f t="shared" si="42"/>
        <v>#VALUE!</v>
      </c>
      <c r="R46" s="17" t="e">
        <f t="shared" si="42"/>
        <v>#VALUE!</v>
      </c>
      <c r="S46" s="17" t="e">
        <f t="shared" si="42"/>
        <v>#VALUE!</v>
      </c>
      <c r="T46" s="17" t="e">
        <f t="shared" ref="T46:AA46" si="43">P15*P$24/$C$28/3</f>
        <v>#VALUE!</v>
      </c>
      <c r="U46" s="17" t="e">
        <f t="shared" si="43"/>
        <v>#VALUE!</v>
      </c>
      <c r="V46" s="17" t="e">
        <f t="shared" si="43"/>
        <v>#VALUE!</v>
      </c>
      <c r="W46" s="17" t="e">
        <f t="shared" si="43"/>
        <v>#VALUE!</v>
      </c>
      <c r="X46" s="17" t="e">
        <f t="shared" si="43"/>
        <v>#VALUE!</v>
      </c>
      <c r="Y46" s="17" t="e">
        <f t="shared" si="43"/>
        <v>#VALUE!</v>
      </c>
      <c r="Z46" s="17" t="e">
        <f t="shared" si="43"/>
        <v>#VALUE!</v>
      </c>
      <c r="AA46" s="17" t="e">
        <f t="shared" si="43"/>
        <v>#VALUE!</v>
      </c>
    </row>
    <row r="47" spans="2:27" x14ac:dyDescent="0.25">
      <c r="B47" s="18" t="s">
        <v>21</v>
      </c>
      <c r="C47" s="19" t="str">
        <f>Respuestas!C23</f>
        <v>Importancia:</v>
      </c>
      <c r="D47" s="20" t="e">
        <f>IF(D48&gt;D49,D48,D49)</f>
        <v>#VALUE!</v>
      </c>
      <c r="E47" s="22" t="e">
        <f>IF(D48&gt;D49,E48,E49)</f>
        <v>#VALUE!</v>
      </c>
      <c r="F47" s="16"/>
      <c r="G47" s="17" t="e">
        <f t="shared" ref="G47:L47" si="44">C16*C$24/$C$26/3</f>
        <v>#VALUE!</v>
      </c>
      <c r="H47" s="17" t="e">
        <f t="shared" si="44"/>
        <v>#VALUE!</v>
      </c>
      <c r="I47" s="17" t="e">
        <f t="shared" si="44"/>
        <v>#VALUE!</v>
      </c>
      <c r="J47" s="17" t="e">
        <f t="shared" si="44"/>
        <v>#VALUE!</v>
      </c>
      <c r="K47" s="17" t="e">
        <f t="shared" si="44"/>
        <v>#VALUE!</v>
      </c>
      <c r="L47" s="17" t="e">
        <f t="shared" si="44"/>
        <v>#VALUE!</v>
      </c>
      <c r="M47" s="17" t="e">
        <f t="shared" ref="M47:S47" si="45">I16*I$24/$C$27/3</f>
        <v>#VALUE!</v>
      </c>
      <c r="N47" s="17" t="e">
        <f t="shared" si="45"/>
        <v>#VALUE!</v>
      </c>
      <c r="O47" s="17" t="e">
        <f t="shared" si="45"/>
        <v>#VALUE!</v>
      </c>
      <c r="P47" s="17" t="e">
        <f t="shared" si="45"/>
        <v>#VALUE!</v>
      </c>
      <c r="Q47" s="17" t="e">
        <f t="shared" si="45"/>
        <v>#VALUE!</v>
      </c>
      <c r="R47" s="17" t="e">
        <f t="shared" si="45"/>
        <v>#VALUE!</v>
      </c>
      <c r="S47" s="17" t="e">
        <f t="shared" si="45"/>
        <v>#VALUE!</v>
      </c>
      <c r="T47" s="17" t="e">
        <f t="shared" ref="T47:AA47" si="46">P16*P$24/$C$28/3</f>
        <v>#VALUE!</v>
      </c>
      <c r="U47" s="17" t="e">
        <f t="shared" si="46"/>
        <v>#VALUE!</v>
      </c>
      <c r="V47" s="17" t="e">
        <f t="shared" si="46"/>
        <v>#VALUE!</v>
      </c>
      <c r="W47" s="17" t="e">
        <f t="shared" si="46"/>
        <v>#VALUE!</v>
      </c>
      <c r="X47" s="17" t="e">
        <f t="shared" si="46"/>
        <v>#VALUE!</v>
      </c>
      <c r="Y47" s="17" t="e">
        <f t="shared" si="46"/>
        <v>#VALUE!</v>
      </c>
      <c r="Z47" s="17" t="e">
        <f t="shared" si="46"/>
        <v>#VALUE!</v>
      </c>
      <c r="AA47" s="17" t="e">
        <f t="shared" si="46"/>
        <v>#VALUE!</v>
      </c>
    </row>
    <row r="48" spans="2:27" x14ac:dyDescent="0.25">
      <c r="B48" s="18" t="s">
        <v>13</v>
      </c>
      <c r="C48" s="19" t="str">
        <f>Respuestas!C24</f>
        <v>Importancia:</v>
      </c>
      <c r="D48" s="21" t="e">
        <f t="shared" si="7"/>
        <v>#VALUE!</v>
      </c>
      <c r="E48" s="23" t="e">
        <f>_xlfn.CONCAT(U$33," (",ROUND(U48,2),")",CHAR(10),CHAR(10),T$33," (",ROUND(T48,2),")",CHAR(10),W$33," (",ROUND(W48,2),")",CHAR(10),X$33," (",ROUND(X48,2),")",CHAR(10),Y$33," (",ROUND(Y48,2),")",CHAR(10),AA$33," (",ROUND(AA48,2),")")</f>
        <v>#VALUE!</v>
      </c>
      <c r="F48" s="16"/>
      <c r="G48" s="17" t="e">
        <f t="shared" ref="G48:L48" si="47">C17*C$24/$C$26/3</f>
        <v>#VALUE!</v>
      </c>
      <c r="H48" s="17" t="e">
        <f t="shared" si="47"/>
        <v>#VALUE!</v>
      </c>
      <c r="I48" s="17" t="e">
        <f t="shared" si="47"/>
        <v>#VALUE!</v>
      </c>
      <c r="J48" s="17" t="e">
        <f t="shared" si="47"/>
        <v>#VALUE!</v>
      </c>
      <c r="K48" s="17" t="e">
        <f t="shared" si="47"/>
        <v>#VALUE!</v>
      </c>
      <c r="L48" s="17" t="e">
        <f t="shared" si="47"/>
        <v>#VALUE!</v>
      </c>
      <c r="M48" s="17" t="e">
        <f t="shared" ref="M48:S48" si="48">I17*I$24/$C$27/3</f>
        <v>#VALUE!</v>
      </c>
      <c r="N48" s="17" t="e">
        <f t="shared" si="48"/>
        <v>#VALUE!</v>
      </c>
      <c r="O48" s="17" t="e">
        <f t="shared" si="48"/>
        <v>#VALUE!</v>
      </c>
      <c r="P48" s="17" t="e">
        <f t="shared" si="48"/>
        <v>#VALUE!</v>
      </c>
      <c r="Q48" s="17" t="e">
        <f t="shared" si="48"/>
        <v>#VALUE!</v>
      </c>
      <c r="R48" s="17" t="e">
        <f t="shared" si="48"/>
        <v>#VALUE!</v>
      </c>
      <c r="S48" s="17" t="e">
        <f t="shared" si="48"/>
        <v>#VALUE!</v>
      </c>
      <c r="T48" s="17" t="e">
        <f t="shared" ref="T48:AA48" si="49">P17*P$24/$C$28/3</f>
        <v>#VALUE!</v>
      </c>
      <c r="U48" s="17" t="e">
        <f t="shared" si="49"/>
        <v>#VALUE!</v>
      </c>
      <c r="V48" s="17" t="e">
        <f t="shared" si="49"/>
        <v>#VALUE!</v>
      </c>
      <c r="W48" s="17" t="e">
        <f t="shared" si="49"/>
        <v>#VALUE!</v>
      </c>
      <c r="X48" s="17" t="e">
        <f t="shared" si="49"/>
        <v>#VALUE!</v>
      </c>
      <c r="Y48" s="17" t="e">
        <f t="shared" si="49"/>
        <v>#VALUE!</v>
      </c>
      <c r="Z48" s="17" t="e">
        <f t="shared" si="49"/>
        <v>#VALUE!</v>
      </c>
      <c r="AA48" s="17" t="e">
        <f t="shared" si="49"/>
        <v>#VALUE!</v>
      </c>
    </row>
    <row r="49" spans="2:27" x14ac:dyDescent="0.25">
      <c r="B49" s="18" t="s">
        <v>14</v>
      </c>
      <c r="C49" s="19" t="str">
        <f>Respuestas!C25</f>
        <v>Importancia:</v>
      </c>
      <c r="D49" s="21" t="e">
        <f t="shared" si="7"/>
        <v>#VALUE!</v>
      </c>
      <c r="E49" s="23" t="e">
        <f>_xlfn.CONCAT(V$33," (",ROUND(V49,2),")",CHAR(10),CHAR(10),T$33," (",ROUND(T49,2),")",CHAR(10),W$33," (",ROUND(W49,2),")",CHAR(10),X$33," (",ROUND(X49,2),")",CHAR(10),Y$33," (",ROUND(Y49,2),")",CHAR(10),Z$33," (",ROUND(Z49,2),")",CHAR(10),AA$33," (",ROUND(AA49,2),")")</f>
        <v>#VALUE!</v>
      </c>
      <c r="F49" s="16"/>
      <c r="G49" s="17" t="e">
        <f t="shared" ref="G49:L49" si="50">C18*C$24/$C$26/3</f>
        <v>#VALUE!</v>
      </c>
      <c r="H49" s="17" t="e">
        <f t="shared" si="50"/>
        <v>#VALUE!</v>
      </c>
      <c r="I49" s="17" t="e">
        <f t="shared" si="50"/>
        <v>#VALUE!</v>
      </c>
      <c r="J49" s="17" t="e">
        <f t="shared" si="50"/>
        <v>#VALUE!</v>
      </c>
      <c r="K49" s="17" t="e">
        <f t="shared" si="50"/>
        <v>#VALUE!</v>
      </c>
      <c r="L49" s="17" t="e">
        <f t="shared" si="50"/>
        <v>#VALUE!</v>
      </c>
      <c r="M49" s="17" t="e">
        <f t="shared" ref="M49:S49" si="51">I18*I$24/$C$27/3</f>
        <v>#VALUE!</v>
      </c>
      <c r="N49" s="17" t="e">
        <f t="shared" si="51"/>
        <v>#VALUE!</v>
      </c>
      <c r="O49" s="17" t="e">
        <f t="shared" si="51"/>
        <v>#VALUE!</v>
      </c>
      <c r="P49" s="17" t="e">
        <f t="shared" si="51"/>
        <v>#VALUE!</v>
      </c>
      <c r="Q49" s="17" t="e">
        <f t="shared" si="51"/>
        <v>#VALUE!</v>
      </c>
      <c r="R49" s="17" t="e">
        <f t="shared" si="51"/>
        <v>#VALUE!</v>
      </c>
      <c r="S49" s="17" t="e">
        <f t="shared" si="51"/>
        <v>#VALUE!</v>
      </c>
      <c r="T49" s="17" t="e">
        <f t="shared" ref="T49:AA49" si="52">P18*P$24/$C$28/3</f>
        <v>#VALUE!</v>
      </c>
      <c r="U49" s="17" t="e">
        <f t="shared" si="52"/>
        <v>#VALUE!</v>
      </c>
      <c r="V49" s="17" t="e">
        <f t="shared" si="52"/>
        <v>#VALUE!</v>
      </c>
      <c r="W49" s="17" t="e">
        <f t="shared" si="52"/>
        <v>#VALUE!</v>
      </c>
      <c r="X49" s="17" t="e">
        <f t="shared" si="52"/>
        <v>#VALUE!</v>
      </c>
      <c r="Y49" s="17" t="e">
        <f t="shared" si="52"/>
        <v>#VALUE!</v>
      </c>
      <c r="Z49" s="17" t="e">
        <f t="shared" si="52"/>
        <v>#VALUE!</v>
      </c>
      <c r="AA49" s="17" t="e">
        <f t="shared" si="52"/>
        <v>#VALUE!</v>
      </c>
    </row>
    <row r="50" spans="2:27" x14ac:dyDescent="0.25">
      <c r="B50" s="18" t="s">
        <v>55</v>
      </c>
      <c r="C50" s="19" t="str">
        <f>Respuestas!C26</f>
        <v>Importancia:</v>
      </c>
      <c r="D50" s="21" t="e">
        <f t="shared" si="7"/>
        <v>#VALUE!</v>
      </c>
      <c r="E50" s="23" t="e">
        <f>_xlfn.CONCAT(W$33," (",ROUND(W50,2),")",CHAR(10),X$33," (",ROUND(X50,2),")")</f>
        <v>#VALUE!</v>
      </c>
      <c r="F50" s="15"/>
      <c r="G50" s="17" t="e">
        <f t="shared" ref="G50:L50" si="53">C19*C$24/$C$26/3</f>
        <v>#VALUE!</v>
      </c>
      <c r="H50" s="17" t="e">
        <f t="shared" si="53"/>
        <v>#VALUE!</v>
      </c>
      <c r="I50" s="17" t="e">
        <f t="shared" si="53"/>
        <v>#VALUE!</v>
      </c>
      <c r="J50" s="17" t="e">
        <f t="shared" si="53"/>
        <v>#VALUE!</v>
      </c>
      <c r="K50" s="17" t="e">
        <f t="shared" si="53"/>
        <v>#VALUE!</v>
      </c>
      <c r="L50" s="17" t="e">
        <f t="shared" si="53"/>
        <v>#VALUE!</v>
      </c>
      <c r="M50" s="17" t="e">
        <f t="shared" ref="M50:S50" si="54">I19*I$24/$C$27/3</f>
        <v>#VALUE!</v>
      </c>
      <c r="N50" s="17" t="e">
        <f t="shared" si="54"/>
        <v>#VALUE!</v>
      </c>
      <c r="O50" s="17" t="e">
        <f t="shared" si="54"/>
        <v>#VALUE!</v>
      </c>
      <c r="P50" s="17" t="e">
        <f t="shared" si="54"/>
        <v>#VALUE!</v>
      </c>
      <c r="Q50" s="17" t="e">
        <f t="shared" si="54"/>
        <v>#VALUE!</v>
      </c>
      <c r="R50" s="17" t="e">
        <f t="shared" si="54"/>
        <v>#VALUE!</v>
      </c>
      <c r="S50" s="17" t="e">
        <f t="shared" si="54"/>
        <v>#VALUE!</v>
      </c>
      <c r="T50" s="17" t="e">
        <f t="shared" ref="T50:AA50" si="55">P19*P$24/$C$28/3</f>
        <v>#VALUE!</v>
      </c>
      <c r="U50" s="17" t="e">
        <f t="shared" si="55"/>
        <v>#VALUE!</v>
      </c>
      <c r="V50" s="17" t="e">
        <f t="shared" si="55"/>
        <v>#VALUE!</v>
      </c>
      <c r="W50" s="17" t="e">
        <f t="shared" si="55"/>
        <v>#VALUE!</v>
      </c>
      <c r="X50" s="17" t="e">
        <f t="shared" si="55"/>
        <v>#VALUE!</v>
      </c>
      <c r="Y50" s="17" t="e">
        <f t="shared" si="55"/>
        <v>#VALUE!</v>
      </c>
      <c r="Z50" s="17" t="e">
        <f t="shared" si="55"/>
        <v>#VALUE!</v>
      </c>
      <c r="AA50" s="17" t="e">
        <f t="shared" si="55"/>
        <v>#VALUE!</v>
      </c>
    </row>
    <row r="51" spans="2:27" x14ac:dyDescent="0.25">
      <c r="B51" s="18" t="s">
        <v>56</v>
      </c>
      <c r="C51" s="19" t="str">
        <f>Respuestas!C27</f>
        <v>Importancia:</v>
      </c>
      <c r="D51" s="21" t="e">
        <f t="shared" si="7"/>
        <v>#VALUE!</v>
      </c>
      <c r="E51" s="23" t="e">
        <f>_xlfn.CONCAT(X$33," (",ROUND(X51,2),")")</f>
        <v>#VALUE!</v>
      </c>
      <c r="F51" s="15"/>
      <c r="G51" s="17" t="e">
        <f t="shared" ref="G51:L51" si="56">C20*C$24/$C$26/3</f>
        <v>#VALUE!</v>
      </c>
      <c r="H51" s="17" t="e">
        <f t="shared" si="56"/>
        <v>#VALUE!</v>
      </c>
      <c r="I51" s="17" t="e">
        <f t="shared" si="56"/>
        <v>#VALUE!</v>
      </c>
      <c r="J51" s="17" t="e">
        <f t="shared" si="56"/>
        <v>#VALUE!</v>
      </c>
      <c r="K51" s="17" t="e">
        <f t="shared" si="56"/>
        <v>#VALUE!</v>
      </c>
      <c r="L51" s="17" t="e">
        <f t="shared" si="56"/>
        <v>#VALUE!</v>
      </c>
      <c r="M51" s="17" t="e">
        <f t="shared" ref="M51:S51" si="57">I20*I$24/$C$27/3</f>
        <v>#VALUE!</v>
      </c>
      <c r="N51" s="17" t="e">
        <f t="shared" si="57"/>
        <v>#VALUE!</v>
      </c>
      <c r="O51" s="17" t="e">
        <f t="shared" si="57"/>
        <v>#VALUE!</v>
      </c>
      <c r="P51" s="17" t="e">
        <f t="shared" si="57"/>
        <v>#VALUE!</v>
      </c>
      <c r="Q51" s="17" t="e">
        <f t="shared" si="57"/>
        <v>#VALUE!</v>
      </c>
      <c r="R51" s="17" t="e">
        <f t="shared" si="57"/>
        <v>#VALUE!</v>
      </c>
      <c r="S51" s="17" t="e">
        <f t="shared" si="57"/>
        <v>#VALUE!</v>
      </c>
      <c r="T51" s="17" t="e">
        <f t="shared" ref="T51:AA51" si="58">P20*P$24/$C$28/3</f>
        <v>#VALUE!</v>
      </c>
      <c r="U51" s="17" t="e">
        <f t="shared" si="58"/>
        <v>#VALUE!</v>
      </c>
      <c r="V51" s="17" t="e">
        <f t="shared" si="58"/>
        <v>#VALUE!</v>
      </c>
      <c r="W51" s="17" t="e">
        <f t="shared" si="58"/>
        <v>#VALUE!</v>
      </c>
      <c r="X51" s="17" t="e">
        <f t="shared" si="58"/>
        <v>#VALUE!</v>
      </c>
      <c r="Y51" s="17" t="e">
        <f t="shared" si="58"/>
        <v>#VALUE!</v>
      </c>
      <c r="Z51" s="17" t="e">
        <f t="shared" si="58"/>
        <v>#VALUE!</v>
      </c>
      <c r="AA51" s="17" t="e">
        <f t="shared" si="58"/>
        <v>#VALUE!</v>
      </c>
    </row>
    <row r="52" spans="2:27" x14ac:dyDescent="0.25">
      <c r="B52" s="18" t="s">
        <v>57</v>
      </c>
      <c r="C52" s="19" t="str">
        <f>Respuestas!C28</f>
        <v>Importancia:</v>
      </c>
      <c r="D52" s="21" t="e">
        <f t="shared" si="7"/>
        <v>#VALUE!</v>
      </c>
      <c r="E52" s="23" t="e">
        <f>_xlfn.CONCAT(Y$33," (",ROUND(Y52,2),")",CHAR(10),CHAR(10),X$33," (",ROUND(X52,2),")")</f>
        <v>#VALUE!</v>
      </c>
      <c r="F52" s="15"/>
      <c r="G52" s="17" t="e">
        <f t="shared" ref="G52:L52" si="59">C21*C$24/$C$26/3</f>
        <v>#VALUE!</v>
      </c>
      <c r="H52" s="17" t="e">
        <f t="shared" si="59"/>
        <v>#VALUE!</v>
      </c>
      <c r="I52" s="17" t="e">
        <f t="shared" si="59"/>
        <v>#VALUE!</v>
      </c>
      <c r="J52" s="17" t="e">
        <f t="shared" si="59"/>
        <v>#VALUE!</v>
      </c>
      <c r="K52" s="17" t="e">
        <f t="shared" si="59"/>
        <v>#VALUE!</v>
      </c>
      <c r="L52" s="17" t="e">
        <f t="shared" si="59"/>
        <v>#VALUE!</v>
      </c>
      <c r="M52" s="17" t="e">
        <f t="shared" ref="M52:S52" si="60">I21*I$24/$C$27/3</f>
        <v>#VALUE!</v>
      </c>
      <c r="N52" s="17" t="e">
        <f t="shared" si="60"/>
        <v>#VALUE!</v>
      </c>
      <c r="O52" s="17" t="e">
        <f t="shared" si="60"/>
        <v>#VALUE!</v>
      </c>
      <c r="P52" s="17" t="e">
        <f t="shared" si="60"/>
        <v>#VALUE!</v>
      </c>
      <c r="Q52" s="17" t="e">
        <f t="shared" si="60"/>
        <v>#VALUE!</v>
      </c>
      <c r="R52" s="17" t="e">
        <f t="shared" si="60"/>
        <v>#VALUE!</v>
      </c>
      <c r="S52" s="17" t="e">
        <f t="shared" si="60"/>
        <v>#VALUE!</v>
      </c>
      <c r="T52" s="17" t="e">
        <f t="shared" ref="T52:AA52" si="61">P21*P$24/$C$28/3</f>
        <v>#VALUE!</v>
      </c>
      <c r="U52" s="17" t="e">
        <f t="shared" si="61"/>
        <v>#VALUE!</v>
      </c>
      <c r="V52" s="17" t="e">
        <f t="shared" si="61"/>
        <v>#VALUE!</v>
      </c>
      <c r="W52" s="17" t="e">
        <f t="shared" si="61"/>
        <v>#VALUE!</v>
      </c>
      <c r="X52" s="17" t="e">
        <f t="shared" si="61"/>
        <v>#VALUE!</v>
      </c>
      <c r="Y52" s="17" t="e">
        <f t="shared" si="61"/>
        <v>#VALUE!</v>
      </c>
      <c r="Z52" s="17" t="e">
        <f t="shared" si="61"/>
        <v>#VALUE!</v>
      </c>
      <c r="AA52" s="17" t="e">
        <f t="shared" si="61"/>
        <v>#VALUE!</v>
      </c>
    </row>
    <row r="53" spans="2:27" x14ac:dyDescent="0.25">
      <c r="B53" s="18" t="s">
        <v>58</v>
      </c>
      <c r="C53" s="19" t="str">
        <f>Respuestas!C29</f>
        <v>Importancia:</v>
      </c>
      <c r="D53" s="21" t="e">
        <f t="shared" si="7"/>
        <v>#VALUE!</v>
      </c>
      <c r="E53" s="23" t="e">
        <f>_xlfn.CONCAT(Z$33," (",ROUND(Z53,2),")")</f>
        <v>#VALUE!</v>
      </c>
      <c r="F53" s="15"/>
      <c r="G53" s="17" t="e">
        <f t="shared" ref="G53:L53" si="62">C22*C$24/$C$26/3</f>
        <v>#VALUE!</v>
      </c>
      <c r="H53" s="17" t="e">
        <f t="shared" si="62"/>
        <v>#VALUE!</v>
      </c>
      <c r="I53" s="17" t="e">
        <f t="shared" si="62"/>
        <v>#VALUE!</v>
      </c>
      <c r="J53" s="17" t="e">
        <f t="shared" si="62"/>
        <v>#VALUE!</v>
      </c>
      <c r="K53" s="17" t="e">
        <f t="shared" si="62"/>
        <v>#VALUE!</v>
      </c>
      <c r="L53" s="17" t="e">
        <f t="shared" si="62"/>
        <v>#VALUE!</v>
      </c>
      <c r="M53" s="17" t="e">
        <f t="shared" ref="M53:S53" si="63">I22*I$24/$C$27/3</f>
        <v>#VALUE!</v>
      </c>
      <c r="N53" s="17" t="e">
        <f t="shared" si="63"/>
        <v>#VALUE!</v>
      </c>
      <c r="O53" s="17" t="e">
        <f t="shared" si="63"/>
        <v>#VALUE!</v>
      </c>
      <c r="P53" s="17" t="e">
        <f t="shared" si="63"/>
        <v>#VALUE!</v>
      </c>
      <c r="Q53" s="17" t="e">
        <f t="shared" si="63"/>
        <v>#VALUE!</v>
      </c>
      <c r="R53" s="17" t="e">
        <f t="shared" si="63"/>
        <v>#VALUE!</v>
      </c>
      <c r="S53" s="17" t="e">
        <f t="shared" si="63"/>
        <v>#VALUE!</v>
      </c>
      <c r="T53" s="17" t="e">
        <f t="shared" ref="T53:AA53" si="64">P22*P$24/$C$28/3</f>
        <v>#VALUE!</v>
      </c>
      <c r="U53" s="17" t="e">
        <f t="shared" si="64"/>
        <v>#VALUE!</v>
      </c>
      <c r="V53" s="17" t="e">
        <f t="shared" si="64"/>
        <v>#VALUE!</v>
      </c>
      <c r="W53" s="17" t="e">
        <f t="shared" si="64"/>
        <v>#VALUE!</v>
      </c>
      <c r="X53" s="17" t="e">
        <f t="shared" si="64"/>
        <v>#VALUE!</v>
      </c>
      <c r="Y53" s="17" t="e">
        <f t="shared" si="64"/>
        <v>#VALUE!</v>
      </c>
      <c r="Z53" s="17" t="e">
        <f t="shared" si="64"/>
        <v>#VALUE!</v>
      </c>
      <c r="AA53" s="17" t="e">
        <f t="shared" si="64"/>
        <v>#VALUE!</v>
      </c>
    </row>
    <row r="54" spans="2:27" x14ac:dyDescent="0.25">
      <c r="B54" s="18" t="s">
        <v>59</v>
      </c>
      <c r="C54" s="19" t="str">
        <f>Respuestas!C30</f>
        <v>Importancia:</v>
      </c>
      <c r="D54" s="21" t="e">
        <f t="shared" si="7"/>
        <v>#VALUE!</v>
      </c>
      <c r="E54" s="23" t="e">
        <f>_xlfn.CONCAT(AA$33," (",ROUND(AA54,2),")")</f>
        <v>#VALUE!</v>
      </c>
      <c r="F54" s="15"/>
      <c r="G54" s="17" t="e">
        <f t="shared" ref="G54:L54" si="65">C23*C$24/$C$26/3</f>
        <v>#VALUE!</v>
      </c>
      <c r="H54" s="17" t="e">
        <f t="shared" si="65"/>
        <v>#VALUE!</v>
      </c>
      <c r="I54" s="17" t="e">
        <f t="shared" si="65"/>
        <v>#VALUE!</v>
      </c>
      <c r="J54" s="17" t="e">
        <f t="shared" si="65"/>
        <v>#VALUE!</v>
      </c>
      <c r="K54" s="17" t="e">
        <f t="shared" si="65"/>
        <v>#VALUE!</v>
      </c>
      <c r="L54" s="17" t="e">
        <f t="shared" si="65"/>
        <v>#VALUE!</v>
      </c>
      <c r="M54" s="17" t="e">
        <f t="shared" ref="M54:S54" si="66">I23*I$24/$C$27/3</f>
        <v>#VALUE!</v>
      </c>
      <c r="N54" s="17" t="e">
        <f t="shared" si="66"/>
        <v>#VALUE!</v>
      </c>
      <c r="O54" s="17" t="e">
        <f t="shared" si="66"/>
        <v>#VALUE!</v>
      </c>
      <c r="P54" s="17" t="e">
        <f t="shared" si="66"/>
        <v>#VALUE!</v>
      </c>
      <c r="Q54" s="17" t="e">
        <f t="shared" si="66"/>
        <v>#VALUE!</v>
      </c>
      <c r="R54" s="17" t="e">
        <f t="shared" si="66"/>
        <v>#VALUE!</v>
      </c>
      <c r="S54" s="17" t="e">
        <f t="shared" si="66"/>
        <v>#VALUE!</v>
      </c>
      <c r="T54" s="17" t="e">
        <f t="shared" ref="T54:AA54" si="67">P23*P$24/$C$28/3</f>
        <v>#VALUE!</v>
      </c>
      <c r="U54" s="17" t="e">
        <f t="shared" si="67"/>
        <v>#VALUE!</v>
      </c>
      <c r="V54" s="17" t="e">
        <f t="shared" si="67"/>
        <v>#VALUE!</v>
      </c>
      <c r="W54" s="17" t="e">
        <f t="shared" si="67"/>
        <v>#VALUE!</v>
      </c>
      <c r="X54" s="17" t="e">
        <f t="shared" si="67"/>
        <v>#VALUE!</v>
      </c>
      <c r="Y54" s="17" t="e">
        <f t="shared" si="67"/>
        <v>#VALUE!</v>
      </c>
      <c r="Z54" s="17" t="e">
        <f t="shared" si="67"/>
        <v>#VALUE!</v>
      </c>
      <c r="AA54" s="17" t="e">
        <f t="shared" si="67"/>
        <v>#VALUE!</v>
      </c>
    </row>
    <row r="55" spans="2:27" x14ac:dyDescent="0.25">
      <c r="S55" s="1"/>
      <c r="T55" s="1"/>
    </row>
    <row r="108" spans="17:18" x14ac:dyDescent="0.25">
      <c r="Q108" s="6"/>
      <c r="R108" s="6"/>
    </row>
    <row r="131" customFormat="1" x14ac:dyDescent="0.25"/>
  </sheetData>
  <mergeCells count="3">
    <mergeCell ref="P1:W1"/>
    <mergeCell ref="I1:O1"/>
    <mergeCell ref="C1:H1"/>
  </mergeCells>
  <conditionalFormatting sqref="G34:AA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D41DB-150E-48C4-837D-F5C63B45A904}">
  <sheetPr codeName="Hoja4"/>
  <dimension ref="A1:F28"/>
  <sheetViews>
    <sheetView topLeftCell="A19" workbookViewId="0">
      <selection activeCell="E3" sqref="E3"/>
    </sheetView>
  </sheetViews>
  <sheetFormatPr baseColWidth="10" defaultRowHeight="15" x14ac:dyDescent="0.25"/>
  <cols>
    <col min="2" max="2" width="19.140625" customWidth="1"/>
    <col min="5" max="5" width="35" style="30" customWidth="1"/>
    <col min="6" max="6" width="22.7109375" customWidth="1"/>
  </cols>
  <sheetData>
    <row r="1" spans="1:6" ht="45" x14ac:dyDescent="0.25">
      <c r="A1" s="24" t="s">
        <v>0</v>
      </c>
      <c r="B1" s="25" t="s">
        <v>63</v>
      </c>
      <c r="C1" s="25" t="s">
        <v>64</v>
      </c>
      <c r="D1" s="25" t="s">
        <v>65</v>
      </c>
      <c r="E1" s="26" t="s">
        <v>66</v>
      </c>
      <c r="F1" s="25" t="s">
        <v>32</v>
      </c>
    </row>
    <row r="2" spans="1:6" x14ac:dyDescent="0.25">
      <c r="A2" s="36" t="s">
        <v>1</v>
      </c>
      <c r="B2" s="27" t="str">
        <f>Propagacion!B40</f>
        <v>Aprender</v>
      </c>
      <c r="C2" s="19" t="str">
        <f>Propagacion!C40</f>
        <v>Importancia:</v>
      </c>
      <c r="D2" s="28" t="e">
        <f>Propagacion!D40</f>
        <v>#VALUE!</v>
      </c>
      <c r="E2" s="23" t="e">
        <f>Propagacion!E40</f>
        <v>#VALUE!</v>
      </c>
      <c r="F2" s="29" t="s">
        <v>38</v>
      </c>
    </row>
    <row r="3" spans="1:6" x14ac:dyDescent="0.25">
      <c r="A3" s="36"/>
      <c r="B3" s="27" t="str">
        <f>Propagacion!B41</f>
        <v>Presencial</v>
      </c>
      <c r="C3" s="19" t="str">
        <f>Propagacion!C41</f>
        <v>Importancia:</v>
      </c>
      <c r="D3" s="28" t="e">
        <f>Propagacion!D41</f>
        <v>#VALUE!</v>
      </c>
      <c r="E3" s="23" t="e">
        <f>Propagacion!E41</f>
        <v>#VALUE!</v>
      </c>
      <c r="F3" s="29" t="s">
        <v>38</v>
      </c>
    </row>
    <row r="4" spans="1:6" x14ac:dyDescent="0.25">
      <c r="A4" s="36"/>
      <c r="B4" s="27" t="str">
        <f>Propagacion!B42</f>
        <v>Online</v>
      </c>
      <c r="C4" s="19" t="str">
        <f>Propagacion!C42</f>
        <v>Importancia:</v>
      </c>
      <c r="D4" s="28" t="e">
        <f>Propagacion!D42</f>
        <v>#VALUE!</v>
      </c>
      <c r="E4" s="23" t="e">
        <f>Propagacion!E42</f>
        <v>#VALUE!</v>
      </c>
      <c r="F4" s="29" t="s">
        <v>38</v>
      </c>
    </row>
    <row r="5" spans="1:6" x14ac:dyDescent="0.25">
      <c r="A5" s="36"/>
      <c r="B5" s="27" t="str">
        <f>Propagacion!B43</f>
        <v>Horario flexible</v>
      </c>
      <c r="C5" s="19" t="str">
        <f>Propagacion!C43</f>
        <v>Importancia:</v>
      </c>
      <c r="D5" s="28" t="e">
        <f>Propagacion!D43</f>
        <v>#VALUE!</v>
      </c>
      <c r="E5" s="23" t="e">
        <f>Propagacion!E43</f>
        <v>#VALUE!</v>
      </c>
      <c r="F5" s="29" t="s">
        <v>38</v>
      </c>
    </row>
    <row r="6" spans="1:6" ht="30" x14ac:dyDescent="0.25">
      <c r="A6" s="36"/>
      <c r="B6" s="27" t="str">
        <f>Propagacion!B44</f>
        <v>Satisfacción con el curso</v>
      </c>
      <c r="C6" s="19" t="str">
        <f>Propagacion!C44</f>
        <v>Importancia:</v>
      </c>
      <c r="D6" s="28" t="e">
        <f>Propagacion!D44</f>
        <v>#VALUE!</v>
      </c>
      <c r="E6" s="23" t="e">
        <f>Propagacion!E44</f>
        <v>#VALUE!</v>
      </c>
      <c r="F6" s="29" t="s">
        <v>38</v>
      </c>
    </row>
    <row r="7" spans="1:6" ht="30" x14ac:dyDescent="0.25">
      <c r="A7" s="36"/>
      <c r="B7" s="27" t="str">
        <f>Propagacion!B45</f>
        <v>Evitar desplazamiento</v>
      </c>
      <c r="C7" s="19" t="str">
        <f>Propagacion!C45</f>
        <v>Importancia:</v>
      </c>
      <c r="D7" s="28" t="e">
        <f>Propagacion!D45</f>
        <v>#VALUE!</v>
      </c>
      <c r="E7" s="23" t="e">
        <f>Propagacion!E45</f>
        <v>#VALUE!</v>
      </c>
      <c r="F7" s="29" t="s">
        <v>38</v>
      </c>
    </row>
    <row r="8" spans="1:6" x14ac:dyDescent="0.25">
      <c r="A8" s="36"/>
      <c r="B8" s="27" t="str">
        <f>Propagacion!B46</f>
        <v>Calidad del curso</v>
      </c>
      <c r="C8" s="19" t="str">
        <f>Propagacion!C46</f>
        <v>Importancia:</v>
      </c>
      <c r="D8" s="28" t="e">
        <f>Propagacion!D46</f>
        <v>#VALUE!</v>
      </c>
      <c r="E8" s="23" t="e">
        <f>Propagacion!E46</f>
        <v>#VALUE!</v>
      </c>
      <c r="F8" s="29" t="s">
        <v>38</v>
      </c>
    </row>
    <row r="11" spans="1:6" ht="45" x14ac:dyDescent="0.25">
      <c r="A11" s="24" t="s">
        <v>0</v>
      </c>
      <c r="B11" s="25" t="s">
        <v>63</v>
      </c>
      <c r="C11" s="25" t="s">
        <v>64</v>
      </c>
      <c r="D11" s="25" t="s">
        <v>65</v>
      </c>
      <c r="E11" s="26" t="s">
        <v>66</v>
      </c>
      <c r="F11" s="25" t="s">
        <v>32</v>
      </c>
    </row>
    <row r="12" spans="1:6" ht="30" x14ac:dyDescent="0.25">
      <c r="A12" s="36" t="s">
        <v>11</v>
      </c>
      <c r="B12" s="27" t="str">
        <f>Propagacion!B34</f>
        <v>Formar Trabajadores</v>
      </c>
      <c r="C12" s="19" t="str">
        <f>Propagacion!C34</f>
        <v>Importancia:</v>
      </c>
      <c r="D12" s="28" t="e">
        <f>Propagacion!D34</f>
        <v>#VALUE!</v>
      </c>
      <c r="E12" s="23" t="e">
        <f>Propagacion!E34</f>
        <v>#VALUE!</v>
      </c>
      <c r="F12" s="29" t="s">
        <v>38</v>
      </c>
    </row>
    <row r="13" spans="1:6" x14ac:dyDescent="0.25">
      <c r="A13" s="36"/>
      <c r="B13" s="27" t="str">
        <f>Propagacion!B35</f>
        <v>Presencial</v>
      </c>
      <c r="C13" s="19" t="str">
        <f>Propagacion!C35</f>
        <v>Importancia:</v>
      </c>
      <c r="D13" s="28" t="e">
        <f>Propagacion!D35</f>
        <v>#VALUE!</v>
      </c>
      <c r="E13" s="23" t="e">
        <f>Propagacion!E35</f>
        <v>#VALUE!</v>
      </c>
      <c r="F13" s="29" t="s">
        <v>38</v>
      </c>
    </row>
    <row r="14" spans="1:6" x14ac:dyDescent="0.25">
      <c r="A14" s="36"/>
      <c r="B14" s="27" t="str">
        <f>Propagacion!B36</f>
        <v>Online</v>
      </c>
      <c r="C14" s="19" t="str">
        <f>Propagacion!C36</f>
        <v>Importancia:</v>
      </c>
      <c r="D14" s="28" t="e">
        <f>Propagacion!D36</f>
        <v>#VALUE!</v>
      </c>
      <c r="E14" s="23" t="e">
        <f>Propagacion!E36</f>
        <v>#VALUE!</v>
      </c>
      <c r="F14" s="29" t="s">
        <v>38</v>
      </c>
    </row>
    <row r="15" spans="1:6" x14ac:dyDescent="0.25">
      <c r="A15" s="36"/>
      <c r="B15" s="27" t="str">
        <f>Propagacion!B37</f>
        <v>Reducir costes</v>
      </c>
      <c r="C15" s="19" t="str">
        <f>Propagacion!C37</f>
        <v>Importancia:</v>
      </c>
      <c r="D15" s="28" t="e">
        <f>Propagacion!D37</f>
        <v>#VALUE!</v>
      </c>
      <c r="E15" s="23" t="e">
        <f>Propagacion!E37</f>
        <v>#VALUE!</v>
      </c>
      <c r="F15" s="29" t="s">
        <v>38</v>
      </c>
    </row>
    <row r="16" spans="1:6" ht="30" x14ac:dyDescent="0.25">
      <c r="A16" s="36"/>
      <c r="B16" s="27" t="str">
        <f>Propagacion!B38</f>
        <v>Aumentar productividad</v>
      </c>
      <c r="C16" s="19" t="str">
        <f>Propagacion!C38</f>
        <v>Importancia:</v>
      </c>
      <c r="D16" s="28" t="e">
        <f>Propagacion!D38</f>
        <v>#VALUE!</v>
      </c>
      <c r="E16" s="23" t="e">
        <f>Propagacion!E38</f>
        <v>#VALUE!</v>
      </c>
      <c r="F16" s="29" t="s">
        <v>38</v>
      </c>
    </row>
    <row r="17" spans="1:6" ht="30" x14ac:dyDescent="0.25">
      <c r="A17" s="36"/>
      <c r="B17" s="27" t="str">
        <f>Propagacion!B39</f>
        <v>Formación de calidad</v>
      </c>
      <c r="C17" s="19" t="str">
        <f>Propagacion!C39</f>
        <v>Importancia:</v>
      </c>
      <c r="D17" s="28" t="e">
        <f>Propagacion!D39</f>
        <v>#VALUE!</v>
      </c>
      <c r="E17" s="23" t="e">
        <f>Propagacion!E39</f>
        <v>#VALUE!</v>
      </c>
      <c r="F17" s="29" t="s">
        <v>38</v>
      </c>
    </row>
    <row r="20" spans="1:6" ht="45" x14ac:dyDescent="0.25">
      <c r="A20" s="24" t="s">
        <v>0</v>
      </c>
      <c r="B20" s="25" t="s">
        <v>63</v>
      </c>
      <c r="C20" s="25" t="s">
        <v>64</v>
      </c>
      <c r="D20" s="25" t="s">
        <v>65</v>
      </c>
      <c r="E20" s="26" t="s">
        <v>66</v>
      </c>
      <c r="F20" s="25" t="s">
        <v>32</v>
      </c>
    </row>
    <row r="21" spans="1:6" x14ac:dyDescent="0.25">
      <c r="A21" s="36" t="s">
        <v>27</v>
      </c>
      <c r="B21" s="27" t="str">
        <f>Propagacion!B47</f>
        <v>Proveer curso</v>
      </c>
      <c r="C21" s="19" t="str">
        <f>Propagacion!C47</f>
        <v>Importancia:</v>
      </c>
      <c r="D21" s="28" t="e">
        <f>Propagacion!D47</f>
        <v>#VALUE!</v>
      </c>
      <c r="E21" s="23" t="e">
        <f>Propagacion!E47</f>
        <v>#VALUE!</v>
      </c>
      <c r="F21" s="29" t="s">
        <v>38</v>
      </c>
    </row>
    <row r="22" spans="1:6" x14ac:dyDescent="0.25">
      <c r="A22" s="36"/>
      <c r="B22" s="27" t="str">
        <f>Propagacion!B48</f>
        <v>Presencial</v>
      </c>
      <c r="C22" s="19" t="str">
        <f>Propagacion!C48</f>
        <v>Importancia:</v>
      </c>
      <c r="D22" s="28" t="e">
        <f>Propagacion!D48</f>
        <v>#VALUE!</v>
      </c>
      <c r="E22" s="23" t="e">
        <f>Propagacion!E48</f>
        <v>#VALUE!</v>
      </c>
      <c r="F22" s="29" t="s">
        <v>38</v>
      </c>
    </row>
    <row r="23" spans="1:6" x14ac:dyDescent="0.25">
      <c r="A23" s="36"/>
      <c r="B23" s="27" t="str">
        <f>Propagacion!B49</f>
        <v>Online</v>
      </c>
      <c r="C23" s="19" t="str">
        <f>Propagacion!C49</f>
        <v>Importancia:</v>
      </c>
      <c r="D23" s="28" t="e">
        <f>Propagacion!D49</f>
        <v>#VALUE!</v>
      </c>
      <c r="E23" s="23" t="e">
        <f>Propagacion!E49</f>
        <v>#VALUE!</v>
      </c>
      <c r="F23" s="29" t="s">
        <v>38</v>
      </c>
    </row>
    <row r="24" spans="1:6" x14ac:dyDescent="0.25">
      <c r="A24" s="36"/>
      <c r="B24" s="27" t="str">
        <f>Propagacion!B50</f>
        <v>Cualquier lugar</v>
      </c>
      <c r="C24" s="19" t="str">
        <f>Propagacion!C50</f>
        <v>Importancia:</v>
      </c>
      <c r="D24" s="28" t="e">
        <f>Propagacion!D50</f>
        <v>#VALUE!</v>
      </c>
      <c r="E24" s="23" t="e">
        <f>Propagacion!E50</f>
        <v>#VALUE!</v>
      </c>
      <c r="F24" s="29" t="s">
        <v>38</v>
      </c>
    </row>
    <row r="25" spans="1:6" ht="30" x14ac:dyDescent="0.25">
      <c r="A25" s="36"/>
      <c r="B25" s="27" t="str">
        <f>Propagacion!B51</f>
        <v>Mejorar acceso a la educación</v>
      </c>
      <c r="C25" s="19" t="str">
        <f>Propagacion!C51</f>
        <v>Importancia:</v>
      </c>
      <c r="D25" s="28" t="e">
        <f>Propagacion!D51</f>
        <v>#VALUE!</v>
      </c>
      <c r="E25" s="23" t="e">
        <f>Propagacion!E51</f>
        <v>#VALUE!</v>
      </c>
      <c r="F25" s="29" t="s">
        <v>38</v>
      </c>
    </row>
    <row r="26" spans="1:6" x14ac:dyDescent="0.25">
      <c r="A26" s="36"/>
      <c r="B26" s="27" t="str">
        <f>Propagacion!B52</f>
        <v>Cualquier hora</v>
      </c>
      <c r="C26" s="19" t="str">
        <f>Propagacion!C52</f>
        <v>Importancia:</v>
      </c>
      <c r="D26" s="28" t="e">
        <f>Propagacion!D52</f>
        <v>#VALUE!</v>
      </c>
      <c r="E26" s="23" t="e">
        <f>Propagacion!E52</f>
        <v>#VALUE!</v>
      </c>
      <c r="F26" s="29" t="s">
        <v>38</v>
      </c>
    </row>
    <row r="27" spans="1:6" x14ac:dyDescent="0.25">
      <c r="A27" s="36"/>
      <c r="B27" s="27" t="str">
        <f>Propagacion!B53</f>
        <v>Problemas técnicos</v>
      </c>
      <c r="C27" s="19" t="str">
        <f>Propagacion!C53</f>
        <v>Importancia:</v>
      </c>
      <c r="D27" s="28" t="e">
        <f>Propagacion!D53</f>
        <v>#VALUE!</v>
      </c>
      <c r="E27" s="23" t="e">
        <f>Propagacion!E53</f>
        <v>#VALUE!</v>
      </c>
      <c r="F27" s="29" t="s">
        <v>38</v>
      </c>
    </row>
    <row r="28" spans="1:6" ht="30" x14ac:dyDescent="0.25">
      <c r="A28" s="36"/>
      <c r="B28" s="27" t="str">
        <f>Propagacion!B54</f>
        <v>Participación alumnos en clase</v>
      </c>
      <c r="C28" s="19" t="str">
        <f>Propagacion!C54</f>
        <v>Importancia:</v>
      </c>
      <c r="D28" s="28" t="e">
        <f>Propagacion!D54</f>
        <v>#VALUE!</v>
      </c>
      <c r="E28" s="23" t="e">
        <f>Propagacion!E54</f>
        <v>#VALUE!</v>
      </c>
      <c r="F28" s="29" t="s">
        <v>38</v>
      </c>
    </row>
  </sheetData>
  <mergeCells count="3">
    <mergeCell ref="A21:A28"/>
    <mergeCell ref="A2:A8"/>
    <mergeCell ref="A12:A17"/>
  </mergeCells>
  <dataValidations disablePrompts="1" count="1">
    <dataValidation type="list" allowBlank="1" showInputMessage="1" showErrorMessage="1" sqref="F12:F17 F21:F28 F2:F8" xr:uid="{0E43778E-F81E-4E95-9DE4-C10F794B319C}">
      <formula1>Evaluar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Acciones a realizar</vt:lpstr>
      <vt:lpstr>Respuestas</vt:lpstr>
      <vt:lpstr>Propagacion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2021-10-18T14:36:36Z</dcterms:modified>
</cp:coreProperties>
</file>